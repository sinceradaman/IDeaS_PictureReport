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ython Projects\IDeaS Picture Report\"/>
    </mc:Choice>
  </mc:AlternateContent>
  <bookViews>
    <workbookView xWindow="0" yWindow="0" windowWidth="15345" windowHeight="4665" firstSheet="1" activeTab="4"/>
  </bookViews>
  <sheets>
    <sheet name="A_Glance" sheetId="1" r:id="rId1"/>
    <sheet name="Date_Report" sheetId="3" r:id="rId2"/>
    <sheet name="Business_Type_Report" sheetId="4" r:id="rId3"/>
    <sheet name="Forecast_Validation" sheetId="7" r:id="rId4"/>
    <sheet name="DOW_Distribution" sheetId="8" r:id="rId5"/>
    <sheet name="Config" sheetId="2" r:id="rId6"/>
  </sheets>
  <calcPr calcId="152511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fres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8" l="1"/>
  <c r="E1" i="8" s="1"/>
  <c r="A1" i="8"/>
  <c r="I1" i="7" l="1"/>
  <c r="H1" i="7"/>
  <c r="D1" i="7"/>
  <c r="E1" i="7" s="1"/>
  <c r="A1" i="7"/>
  <c r="D1" i="4" l="1"/>
  <c r="E1" i="4" s="1"/>
  <c r="I1" i="4"/>
  <c r="H1" i="4"/>
  <c r="A1" i="4"/>
  <c r="H1" i="3" l="1"/>
  <c r="I1" i="3"/>
  <c r="D1" i="3"/>
  <c r="E1" i="3" s="1"/>
  <c r="E1" i="1"/>
  <c r="A1" i="3" l="1"/>
</calcChain>
</file>

<file path=xl/sharedStrings.xml><?xml version="1.0" encoding="utf-8"?>
<sst xmlns="http://schemas.openxmlformats.org/spreadsheetml/2006/main" count="313" uniqueCount="176">
  <si>
    <t>Wanda Vista Zhengzhou</t>
  </si>
  <si>
    <t>Wanda Vista Yantai</t>
  </si>
  <si>
    <t>Wanda Vista Wulumuqi</t>
  </si>
  <si>
    <t>Wanda Vista Tianjin</t>
  </si>
  <si>
    <t>Wanda Vista Taiyuan</t>
  </si>
  <si>
    <t>Wanda Vista Shenyang</t>
  </si>
  <si>
    <t>Wanda Vista Resort XSBN</t>
  </si>
  <si>
    <t>Wanda Vista Quanzhou</t>
  </si>
  <si>
    <t>Wanda Vista Nanchang</t>
  </si>
  <si>
    <t>Wanda Vista Lanzhou</t>
  </si>
  <si>
    <t>Wanda Vista Kunming</t>
  </si>
  <si>
    <t>Wanda Vista Hohhot</t>
  </si>
  <si>
    <t>Wanda Vista Dongguan</t>
  </si>
  <si>
    <t>Wanda Vista Changsha</t>
  </si>
  <si>
    <t>Wanda Reign Wuhan</t>
  </si>
  <si>
    <t>Wanda Reign on the Bund</t>
  </si>
  <si>
    <t>Wanda Reign Chengdu</t>
  </si>
  <si>
    <t>Wanda Realm Zhangzhou</t>
  </si>
  <si>
    <t>Wanda Realm Yinchuan</t>
  </si>
  <si>
    <t>Wanda Realm Wuhu</t>
  </si>
  <si>
    <t>Wanda Realm Wuhan</t>
  </si>
  <si>
    <t>Wanda Realm Taian</t>
  </si>
  <si>
    <t>Wanda Realm Siping</t>
  </si>
  <si>
    <t>Wanda Realm Resort Nanchang</t>
  </si>
  <si>
    <t>Wanda Realm Ningde</t>
  </si>
  <si>
    <t>Wanda Realm Neijiang</t>
  </si>
  <si>
    <t>Wanda Realm Nanjing</t>
  </si>
  <si>
    <t>Wanda Realm Nanchang</t>
  </si>
  <si>
    <t>Wanda Realm Maanshan</t>
  </si>
  <si>
    <t>Wanda Realm Longyan</t>
  </si>
  <si>
    <t>Wanda Realm Liuzhou</t>
  </si>
  <si>
    <t>Wanda Realm Langfang</t>
  </si>
  <si>
    <t>Wanda Realm Jining</t>
  </si>
  <si>
    <t>Wanda Realm Jinhua</t>
  </si>
  <si>
    <t>Wanda Realm Jingzhou</t>
  </si>
  <si>
    <t>Wanda Realm Jiangmen</t>
  </si>
  <si>
    <t>Wanda Realm Huangshi</t>
  </si>
  <si>
    <t>Wanda Realm Huaian</t>
  </si>
  <si>
    <t>Wanda Realm Harbin</t>
  </si>
  <si>
    <t>Wanda Realm Guangzhou</t>
  </si>
  <si>
    <t>Wanda Realm Guangyuan</t>
  </si>
  <si>
    <t>Wanda Realm Fuyang</t>
  </si>
  <si>
    <t>Wanda Realm Fushun</t>
  </si>
  <si>
    <t>Wanda Realm Dongying</t>
  </si>
  <si>
    <t>Wanda Realm Dandong</t>
  </si>
  <si>
    <t>Wanda Realm Chifeng</t>
  </si>
  <si>
    <t>Wanda Realm Changzhou</t>
  </si>
  <si>
    <t>Wanda Realm Bozhou</t>
  </si>
  <si>
    <t>Wanda Realm Bengbu</t>
  </si>
  <si>
    <t>Wanda Realm Beijing</t>
  </si>
  <si>
    <t>Wanda Realm Anyang</t>
  </si>
  <si>
    <t>Wanda Vista Hefei</t>
  </si>
  <si>
    <t>Wanda Realm Xining</t>
  </si>
  <si>
    <t>Wanda Realm Yiwu</t>
  </si>
  <si>
    <t>Wanda Realm Hefei</t>
  </si>
  <si>
    <t>Wanda Realm Shangrao</t>
  </si>
  <si>
    <t>Pullman Wanda Weifang</t>
  </si>
  <si>
    <t>Wanda Realm Taizhou</t>
  </si>
  <si>
    <t>Wanda Realm Resort Nanning</t>
  </si>
  <si>
    <t>Tourism Town Danzhai Hotel</t>
  </si>
  <si>
    <t>Wanda Vista Resort Harbin</t>
  </si>
  <si>
    <t>Wanda Realm Resort Harbin</t>
  </si>
  <si>
    <t>Wanda Vista Resort Qingdao</t>
  </si>
  <si>
    <t>Wanda Realm Resort Qingdao</t>
  </si>
  <si>
    <t>Wanda Realm Qiqihar</t>
  </si>
  <si>
    <t>Wanda Vista Zhengzhou</t>
    <phoneticPr fontId="1" type="noConversion"/>
  </si>
  <si>
    <t>Transient</t>
  </si>
  <si>
    <t>Actual</t>
  </si>
  <si>
    <t>Group</t>
  </si>
  <si>
    <t>Forecast</t>
  </si>
  <si>
    <t>Occ%</t>
    <phoneticPr fontId="1" type="noConversion"/>
  </si>
  <si>
    <t>Rooms Sold</t>
  </si>
  <si>
    <t>ADR</t>
  </si>
  <si>
    <t>RevPAR</t>
  </si>
  <si>
    <t>Occupancy Date</t>
    <phoneticPr fontId="1" type="noConversion"/>
  </si>
  <si>
    <t>2017-10-01 Sun</t>
  </si>
  <si>
    <t>2017-10-02 Mon</t>
  </si>
  <si>
    <t>2017-10-03 Tue</t>
  </si>
  <si>
    <t>2017-10-04 Wed</t>
  </si>
  <si>
    <t>2017-10-05 Thu</t>
  </si>
  <si>
    <t>2017-10-06 Fri</t>
  </si>
  <si>
    <t>2017-10-07 Sat</t>
  </si>
  <si>
    <t>2017-10-08 Sun</t>
  </si>
  <si>
    <t>2017-10-09 Mon</t>
  </si>
  <si>
    <t>2017-10-10 Tue</t>
  </si>
  <si>
    <t>2017-10-11 Wed</t>
  </si>
  <si>
    <t>2017-10-12 Thu</t>
  </si>
  <si>
    <t>2017-10-13 Fri</t>
  </si>
  <si>
    <t>2017-10-14 Sat</t>
  </si>
  <si>
    <t>2017-10-15 Sun</t>
  </si>
  <si>
    <t>2017-10-16 Mon</t>
  </si>
  <si>
    <t>2017-10-17 Tue</t>
  </si>
  <si>
    <t>2017-10-18 Wed</t>
  </si>
  <si>
    <t>2017-10-19 Thu</t>
  </si>
  <si>
    <t>2017-10-20 Fri</t>
  </si>
  <si>
    <t>2017-10-21 Sat</t>
  </si>
  <si>
    <t>2017-10-22 Sun</t>
  </si>
  <si>
    <t>2017-10-23 Mon</t>
  </si>
  <si>
    <t>2017-10-24 Tue</t>
  </si>
  <si>
    <t>2017-10-25 Wed</t>
  </si>
  <si>
    <t>2017-10-26 Thu</t>
  </si>
  <si>
    <t>2017-10-27 Fri</t>
  </si>
  <si>
    <t>2017-10-28 Sat</t>
  </si>
  <si>
    <t>2017-10-29 Sun</t>
  </si>
  <si>
    <t>2017-10-30 Mon</t>
  </si>
  <si>
    <t>2017-10-31 Tue</t>
  </si>
  <si>
    <t>2016-10-01 Sat</t>
  </si>
  <si>
    <t>2016-10-02 Sun</t>
  </si>
  <si>
    <t>2016-10-03 Mon</t>
  </si>
  <si>
    <t>2016-10-04 Tue</t>
  </si>
  <si>
    <t>2016-10-05 Wed</t>
  </si>
  <si>
    <t>2016-10-06 Thu</t>
  </si>
  <si>
    <t>2016-10-07 Fri</t>
  </si>
  <si>
    <t>2016-10-08 Sat</t>
  </si>
  <si>
    <t>2016-10-09 Sun</t>
  </si>
  <si>
    <t>2016-10-10 Mon</t>
  </si>
  <si>
    <t>2016-10-11 Tue</t>
  </si>
  <si>
    <t>2016-10-12 Wed</t>
  </si>
  <si>
    <t>2016-10-13 Thu</t>
  </si>
  <si>
    <t>2016-10-14 Fri</t>
  </si>
  <si>
    <t>2016-10-15 Sat</t>
  </si>
  <si>
    <t>2016-10-16 Sun</t>
  </si>
  <si>
    <t>2016-10-17 Mon</t>
  </si>
  <si>
    <t>2016-10-18 Tue</t>
  </si>
  <si>
    <t>2016-10-19 Wed</t>
  </si>
  <si>
    <t>2016-10-20 Thu</t>
  </si>
  <si>
    <t>2016-10-21 Fri</t>
  </si>
  <si>
    <t>2016-10-22 Sat</t>
  </si>
  <si>
    <t>2016-10-23 Sun</t>
  </si>
  <si>
    <t>2016-10-24 Mon</t>
  </si>
  <si>
    <t>2016-10-25 Tue</t>
  </si>
  <si>
    <t>2016-10-26 Wed</t>
  </si>
  <si>
    <t>2016-10-27 Thu</t>
  </si>
  <si>
    <t>2016-10-28 Fri</t>
  </si>
  <si>
    <t>2016-10-29 Sat</t>
  </si>
  <si>
    <t>2016-10-30 Sun</t>
  </si>
  <si>
    <t>2016-10-31 Mon</t>
  </si>
  <si>
    <t>Hotel Capacity</t>
    <phoneticPr fontId="1" type="noConversion"/>
  </si>
  <si>
    <t>Transient(Sold)</t>
    <phoneticPr fontId="1" type="noConversion"/>
  </si>
  <si>
    <t>Group(Sold)</t>
    <phoneticPr fontId="1" type="noConversion"/>
  </si>
  <si>
    <t>Transient(fcst)</t>
    <phoneticPr fontId="1" type="noConversion"/>
  </si>
  <si>
    <t>Group(fcst)</t>
    <phoneticPr fontId="1" type="noConversion"/>
  </si>
  <si>
    <t>ADR</t>
    <phoneticPr fontId="1" type="noConversion"/>
  </si>
  <si>
    <t>Last Room Vaule</t>
    <phoneticPr fontId="1" type="noConversion"/>
  </si>
  <si>
    <t>Room Sold TY</t>
    <phoneticPr fontId="1" type="noConversion"/>
  </si>
  <si>
    <t>Room Sold LY</t>
    <phoneticPr fontId="1" type="noConversion"/>
  </si>
  <si>
    <t>Occ Fcst</t>
    <phoneticPr fontId="1" type="noConversion"/>
  </si>
  <si>
    <t>System  Demond</t>
    <phoneticPr fontId="1" type="noConversion"/>
  </si>
  <si>
    <t>Special Event TY</t>
    <phoneticPr fontId="1" type="noConversion"/>
  </si>
  <si>
    <t>Special Event LY</t>
    <phoneticPr fontId="1" type="noConversion"/>
  </si>
  <si>
    <t>Tue</t>
  </si>
  <si>
    <t>Wed</t>
  </si>
  <si>
    <t>Thu</t>
  </si>
  <si>
    <t>Fri</t>
  </si>
  <si>
    <t>Sat</t>
  </si>
  <si>
    <t>——</t>
    <phoneticPr fontId="1" type="noConversion"/>
  </si>
  <si>
    <t>VS</t>
    <phoneticPr fontId="1" type="noConversion"/>
  </si>
  <si>
    <t>DOW</t>
    <phoneticPr fontId="1" type="noConversion"/>
  </si>
  <si>
    <t>TOTAL_Occ</t>
  </si>
  <si>
    <t>TOTAL_ADR</t>
  </si>
  <si>
    <t>TOTAL_RevPAR</t>
  </si>
  <si>
    <t>TRAN_Occ</t>
  </si>
  <si>
    <t>TRAN_ADR</t>
  </si>
  <si>
    <t>TRAN_RevPAR</t>
  </si>
  <si>
    <t>GROUP_Occ</t>
  </si>
  <si>
    <t>GROUP_ADR</t>
  </si>
  <si>
    <t>GROUP_RevPAR</t>
  </si>
  <si>
    <t>Mon</t>
    <phoneticPr fontId="1" type="noConversion"/>
  </si>
  <si>
    <t>Sun</t>
  </si>
  <si>
    <t>TOTAL</t>
    <phoneticPr fontId="1" type="noConversion"/>
  </si>
  <si>
    <t>TRANS</t>
    <phoneticPr fontId="1" type="noConversion"/>
  </si>
  <si>
    <t>GROUP</t>
    <phoneticPr fontId="1" type="noConversion"/>
  </si>
  <si>
    <t>2017-10-9</t>
    <phoneticPr fontId="1" type="noConversion"/>
  </si>
  <si>
    <t>2017-10-15</t>
    <phoneticPr fontId="1" type="noConversion"/>
  </si>
  <si>
    <t>2017-10-16</t>
    <phoneticPr fontId="1" type="noConversion"/>
  </si>
  <si>
    <t>2017-10-22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</si>
</sst>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0_);[Red]\(0.00\)"/>
  </numFmts>
  <fonts count="1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color theme="1"/>
      <name val="微软雅黑"/>
      <family val="2"/>
      <charset val="134"/>
    </font>
    <font>
      <b/>
      <sz val="9"/>
      <color theme="1"/>
      <name val="微软雅黑"/>
      <family val="2"/>
      <charset val="134"/>
    </font>
    <font>
      <b/>
      <i/>
      <sz val="11"/>
      <color rgb="FFFF0000"/>
      <name val="微软雅黑"/>
      <family val="2"/>
      <charset val="134"/>
    </font>
    <font>
      <b/>
      <sz val="10"/>
      <color rgb="FF000000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8"/>
      <color theme="1"/>
      <name val="微软雅黑"/>
      <family val="2"/>
      <charset val="134"/>
    </font>
    <font>
      <sz val="6"/>
      <color theme="1"/>
      <name val="微软雅黑"/>
      <family val="2"/>
      <charset val="134"/>
    </font>
    <font>
      <i/>
      <u/>
      <sz val="9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i/>
      <u/>
      <sz val="8"/>
      <color theme="1"/>
      <name val="微软雅黑"/>
      <family val="2"/>
      <charset val="134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41">
    <xf numFmtId="0" fontId="0" fillId="0" borderId="0" xfId="0">
      <alignment vertical="center"/>
    </xf>
    <xf numFmtId="0" fontId="0" fillId="2" borderId="0" xfId="0" applyFill="1" applyBorder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2" borderId="0" xfId="0" applyFont="1" applyFill="1" applyBorder="1">
      <alignment vertical="center"/>
    </xf>
    <xf numFmtId="10" fontId="7" fillId="0" borderId="1" xfId="1" applyNumberFormat="1" applyFont="1" applyBorder="1" applyAlignment="1">
      <alignment horizontal="center" vertical="center"/>
    </xf>
    <xf numFmtId="14" fontId="3" fillId="0" borderId="2" xfId="0" applyNumberFormat="1" applyFont="1" applyBorder="1" applyAlignment="1">
      <alignment horizontal="center" vertical="center"/>
    </xf>
    <xf numFmtId="0" fontId="0" fillId="2" borderId="0" xfId="0" applyFill="1">
      <alignment vertical="center"/>
    </xf>
    <xf numFmtId="0" fontId="2" fillId="2" borderId="0" xfId="0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14" fontId="0" fillId="2" borderId="0" xfId="0" applyNumberFormat="1" applyFill="1">
      <alignment vertical="center"/>
    </xf>
    <xf numFmtId="0" fontId="0" fillId="2" borderId="0" xfId="0" applyNumberFormat="1" applyFill="1">
      <alignment vertical="center"/>
    </xf>
    <xf numFmtId="10" fontId="7" fillId="0" borderId="6" xfId="1" applyNumberFormat="1" applyFont="1" applyBorder="1" applyAlignment="1">
      <alignment horizontal="center" vertical="center"/>
    </xf>
    <xf numFmtId="10" fontId="7" fillId="0" borderId="9" xfId="1" applyNumberFormat="1" applyFont="1" applyBorder="1" applyAlignment="1">
      <alignment horizontal="center" vertical="center"/>
    </xf>
    <xf numFmtId="10" fontId="7" fillId="0" borderId="8" xfId="1" applyNumberFormat="1" applyFont="1" applyBorder="1" applyAlignment="1">
      <alignment horizontal="center" vertical="center"/>
    </xf>
    <xf numFmtId="14" fontId="8" fillId="3" borderId="3" xfId="0" applyNumberFormat="1" applyFont="1" applyFill="1" applyBorder="1" applyAlignment="1">
      <alignment horizontal="center" vertical="center" wrapText="1"/>
    </xf>
    <xf numFmtId="14" fontId="8" fillId="3" borderId="4" xfId="0" applyNumberFormat="1" applyFont="1" applyFill="1" applyBorder="1" applyAlignment="1">
      <alignment horizontal="center" vertical="center" wrapText="1"/>
    </xf>
    <xf numFmtId="49" fontId="2" fillId="2" borderId="0" xfId="0" applyNumberFormat="1" applyFont="1" applyFill="1" applyBorder="1" applyAlignment="1">
      <alignment vertical="center"/>
    </xf>
    <xf numFmtId="0" fontId="2" fillId="2" borderId="0" xfId="0" applyNumberFormat="1" applyFont="1" applyFill="1" applyBorder="1" applyAlignment="1">
      <alignment vertical="center"/>
    </xf>
    <xf numFmtId="14" fontId="4" fillId="4" borderId="10" xfId="0" applyNumberFormat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49" fontId="7" fillId="0" borderId="0" xfId="0" applyNumberFormat="1" applyFont="1">
      <alignment vertical="center"/>
    </xf>
    <xf numFmtId="176" fontId="9" fillId="2" borderId="0" xfId="0" applyNumberFormat="1" applyFont="1" applyFill="1" applyBorder="1" applyAlignment="1">
      <alignment horizontal="center" vertical="center"/>
    </xf>
    <xf numFmtId="14" fontId="8" fillId="5" borderId="3" xfId="0" applyNumberFormat="1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>
      <alignment vertical="center"/>
    </xf>
    <xf numFmtId="14" fontId="3" fillId="2" borderId="2" xfId="0" applyNumberFormat="1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77" fontId="7" fillId="0" borderId="1" xfId="1" applyNumberFormat="1" applyFont="1" applyBorder="1" applyAlignment="1">
      <alignment horizontal="center" vertical="center"/>
    </xf>
    <xf numFmtId="176" fontId="7" fillId="0" borderId="1" xfId="1" applyNumberFormat="1" applyFont="1" applyBorder="1" applyAlignment="1">
      <alignment horizontal="center" vertical="center"/>
    </xf>
    <xf numFmtId="14" fontId="8" fillId="6" borderId="3" xfId="0" applyNumberFormat="1" applyFont="1" applyFill="1" applyBorder="1" applyAlignment="1">
      <alignment horizontal="center" vertical="center" wrapText="1"/>
    </xf>
    <xf numFmtId="14" fontId="4" fillId="7" borderId="1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49" fontId="12" fillId="2" borderId="1" xfId="0" applyNumberFormat="1" applyFont="1" applyFill="1" applyBorder="1" applyAlignment="1">
      <alignment horizontal="center" vertical="center"/>
    </xf>
    <xf numFmtId="10" fontId="2" fillId="0" borderId="1" xfId="1" applyNumberFormat="1" applyFont="1" applyBorder="1" applyAlignment="1">
      <alignment horizontal="center" vertical="center"/>
    </xf>
    <xf numFmtId="176" fontId="2" fillId="0" borderId="1" xfId="1" applyNumberFormat="1" applyFont="1" applyBorder="1" applyAlignment="1">
      <alignment horizontal="center" vertical="center"/>
    </xf>
    <xf numFmtId="0" fontId="10" fillId="2" borderId="0" xfId="0" applyFont="1" applyFill="1" applyAlignment="1">
      <alignment vertical="center"/>
    </xf>
    <xf numFmtId="0" fontId="10" fillId="2" borderId="0" xfId="0" applyFont="1" applyFill="1" applyAlignment="1">
      <alignment horizontal="center" vertical="center"/>
    </xf>
    <xf numFmtId="14" fontId="11" fillId="5" borderId="11" xfId="0" applyNumberFormat="1" applyFont="1" applyFill="1" applyBorder="1" applyAlignment="1">
      <alignment horizontal="center" vertical="center" wrapText="1"/>
    </xf>
    <xf numFmtId="14" fontId="11" fillId="5" borderId="12" xfId="0" applyNumberFormat="1" applyFont="1" applyFill="1" applyBorder="1" applyAlignment="1">
      <alignment horizontal="center" vertical="center" wrapText="1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colors>
    <mruColors>
      <color rgb="FF00FF00"/>
      <color rgb="FF0000FF"/>
      <color rgb="FFFF9933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r>
              <a:rPr lang="en-US" altLang="zh-CN" sz="1200" b="1"/>
              <a:t>% Room Sold</a:t>
            </a:r>
            <a:endParaRPr lang="zh-CN" sz="1200" b="1"/>
          </a:p>
        </c:rich>
      </c:tx>
      <c:layout>
        <c:manualLayout>
          <c:xMode val="edge"/>
          <c:yMode val="edge"/>
          <c:x val="0.43637874151417544"/>
          <c:y val="1.6815031738041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1391268333365589E-2"/>
          <c:y val="0.11158717335861452"/>
          <c:w val="0.88511300756814748"/>
          <c:h val="0.56418717424879716"/>
        </c:manualLayout>
      </c:layout>
      <c:lineChart>
        <c:grouping val="standard"/>
        <c:varyColors val="0"/>
        <c:ser>
          <c:idx val="1"/>
          <c:order val="0"/>
          <c:tx>
            <c:strRef>
              <c:f>A_Glance!$A$4</c:f>
              <c:strCache>
                <c:ptCount val="1"/>
                <c:pt idx="0">
                  <c:v>Actual</c:v>
                </c:pt>
              </c:strCache>
            </c:strRef>
          </c:tx>
          <c:spPr>
            <a:ln w="12700" cap="rnd">
              <a:solidFill>
                <a:srgbClr val="00206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noFill/>
              </a:ln>
              <a:effectLst/>
            </c:spPr>
          </c:marker>
          <c:cat>
            <c:strRef>
              <c:f>A_Glance!$B$3:$AF$3</c:f>
              <c:strCache>
                <c:ptCount val="31"/>
                <c:pt idx="0">
                  <c:v>2017-10-01 Sun</c:v>
                </c:pt>
                <c:pt idx="1">
                  <c:v>2017-10-02 Mon</c:v>
                </c:pt>
                <c:pt idx="2">
                  <c:v>2017-10-03 Tue</c:v>
                </c:pt>
                <c:pt idx="3">
                  <c:v>2017-10-04 Wed</c:v>
                </c:pt>
                <c:pt idx="4">
                  <c:v>2017-10-05 Thu</c:v>
                </c:pt>
                <c:pt idx="5">
                  <c:v>2017-10-06 Fri</c:v>
                </c:pt>
                <c:pt idx="6">
                  <c:v>2017-10-07 Sat</c:v>
                </c:pt>
                <c:pt idx="7">
                  <c:v>2017-10-08 Sun</c:v>
                </c:pt>
                <c:pt idx="8">
                  <c:v>2017-10-09 Mon</c:v>
                </c:pt>
                <c:pt idx="9">
                  <c:v>2017-10-10 Tue</c:v>
                </c:pt>
                <c:pt idx="10">
                  <c:v>2017-10-11 Wed</c:v>
                </c:pt>
                <c:pt idx="11">
                  <c:v>2017-10-12 Thu</c:v>
                </c:pt>
                <c:pt idx="12">
                  <c:v>2017-10-13 Fri</c:v>
                </c:pt>
                <c:pt idx="13">
                  <c:v>2017-10-14 Sat</c:v>
                </c:pt>
                <c:pt idx="14">
                  <c:v>2017-10-15 Sun</c:v>
                </c:pt>
                <c:pt idx="15">
                  <c:v>2017-10-16 Mon</c:v>
                </c:pt>
                <c:pt idx="16">
                  <c:v>2017-10-17 Tue</c:v>
                </c:pt>
                <c:pt idx="17">
                  <c:v>2017-10-18 Wed</c:v>
                </c:pt>
                <c:pt idx="18">
                  <c:v>2017-10-19 Thu</c:v>
                </c:pt>
                <c:pt idx="19">
                  <c:v>2017-10-20 Fri</c:v>
                </c:pt>
                <c:pt idx="20">
                  <c:v>2017-10-21 Sat</c:v>
                </c:pt>
                <c:pt idx="21">
                  <c:v>2017-10-22 Sun</c:v>
                </c:pt>
                <c:pt idx="22">
                  <c:v>2017-10-23 Mon</c:v>
                </c:pt>
                <c:pt idx="23">
                  <c:v>2017-10-24 Tue</c:v>
                </c:pt>
                <c:pt idx="24">
                  <c:v>2017-10-25 Wed</c:v>
                </c:pt>
                <c:pt idx="25">
                  <c:v>2017-10-26 Thu</c:v>
                </c:pt>
                <c:pt idx="26">
                  <c:v>2017-10-27 Fri</c:v>
                </c:pt>
                <c:pt idx="27">
                  <c:v>2017-10-28 Sat</c:v>
                </c:pt>
                <c:pt idx="28">
                  <c:v>2017-10-29 Sun</c:v>
                </c:pt>
                <c:pt idx="29">
                  <c:v>2017-10-30 Mon</c:v>
                </c:pt>
                <c:pt idx="30">
                  <c:v>2017-10-31 Tue</c:v>
                </c:pt>
              </c:strCache>
            </c:strRef>
          </c:cat>
          <c:val>
            <c:numRef>
              <c:f>A_Glance!$B$4:$AF$4</c:f>
              <c:numCache>
                <c:formatCode>0.00%</c:formatCode>
                <c:ptCount val="31"/>
                <c:pt idx="0">
                  <c:v>0.72083333333333333</c:v>
                </c:pt>
                <c:pt idx="1">
                  <c:v>0.95</c:v>
                </c:pt>
                <c:pt idx="2">
                  <c:v>1</c:v>
                </c:pt>
                <c:pt idx="3">
                  <c:v>0.9916666666666667</c:v>
                </c:pt>
                <c:pt idx="4">
                  <c:v>0.95</c:v>
                </c:pt>
                <c:pt idx="5">
                  <c:v>0.82916666666666672</c:v>
                </c:pt>
                <c:pt idx="6">
                  <c:v>0.5708333333333333</c:v>
                </c:pt>
                <c:pt idx="7">
                  <c:v>0.24166666666666667</c:v>
                </c:pt>
                <c:pt idx="8">
                  <c:v>0.15833333333333333</c:v>
                </c:pt>
                <c:pt idx="9">
                  <c:v>0.19166666666666668</c:v>
                </c:pt>
                <c:pt idx="10">
                  <c:v>0.36249999999999999</c:v>
                </c:pt>
                <c:pt idx="11">
                  <c:v>0.42916666666666664</c:v>
                </c:pt>
                <c:pt idx="12">
                  <c:v>0.42916666666666664</c:v>
                </c:pt>
                <c:pt idx="13">
                  <c:v>0.47083333333333333</c:v>
                </c:pt>
                <c:pt idx="14">
                  <c:v>0.28749999999999998</c:v>
                </c:pt>
                <c:pt idx="15">
                  <c:v>0.17499999999999999</c:v>
                </c:pt>
                <c:pt idx="16">
                  <c:v>0.28749999999999998</c:v>
                </c:pt>
                <c:pt idx="17">
                  <c:v>0.34166666666666667</c:v>
                </c:pt>
                <c:pt idx="18">
                  <c:v>0.26666666666666666</c:v>
                </c:pt>
                <c:pt idx="19">
                  <c:v>0.125</c:v>
                </c:pt>
                <c:pt idx="20">
                  <c:v>0.12083333333333333</c:v>
                </c:pt>
                <c:pt idx="21">
                  <c:v>8.3333333333333329E-2</c:v>
                </c:pt>
                <c:pt idx="22">
                  <c:v>5.4166666666666669E-2</c:v>
                </c:pt>
                <c:pt idx="23">
                  <c:v>6.25E-2</c:v>
                </c:pt>
                <c:pt idx="24">
                  <c:v>0.1</c:v>
                </c:pt>
                <c:pt idx="25">
                  <c:v>0.10416666666666667</c:v>
                </c:pt>
                <c:pt idx="26">
                  <c:v>6.25E-2</c:v>
                </c:pt>
                <c:pt idx="27">
                  <c:v>3.7499999999999999E-2</c:v>
                </c:pt>
                <c:pt idx="28">
                  <c:v>8.3333333333333332E-3</c:v>
                </c:pt>
                <c:pt idx="29">
                  <c:v>8.3333333333333332E-3</c:v>
                </c:pt>
                <c:pt idx="30">
                  <c:v>8.3333333333333332E-3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A_Glance!$A$5</c:f>
              <c:strCache>
                <c:ptCount val="1"/>
                <c:pt idx="0">
                  <c:v>Transient</c:v>
                </c:pt>
              </c:strCache>
            </c:strRef>
          </c:tx>
          <c:spPr>
            <a:ln w="127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 w="9525">
                <a:noFill/>
              </a:ln>
              <a:effectLst/>
            </c:spPr>
          </c:marker>
          <c:cat>
            <c:strRef>
              <c:f>A_Glance!$B$3:$AF$3</c:f>
              <c:strCache>
                <c:ptCount val="31"/>
                <c:pt idx="0">
                  <c:v>2017-10-01 Sun</c:v>
                </c:pt>
                <c:pt idx="1">
                  <c:v>2017-10-02 Mon</c:v>
                </c:pt>
                <c:pt idx="2">
                  <c:v>2017-10-03 Tue</c:v>
                </c:pt>
                <c:pt idx="3">
                  <c:v>2017-10-04 Wed</c:v>
                </c:pt>
                <c:pt idx="4">
                  <c:v>2017-10-05 Thu</c:v>
                </c:pt>
                <c:pt idx="5">
                  <c:v>2017-10-06 Fri</c:v>
                </c:pt>
                <c:pt idx="6">
                  <c:v>2017-10-07 Sat</c:v>
                </c:pt>
                <c:pt idx="7">
                  <c:v>2017-10-08 Sun</c:v>
                </c:pt>
                <c:pt idx="8">
                  <c:v>2017-10-09 Mon</c:v>
                </c:pt>
                <c:pt idx="9">
                  <c:v>2017-10-10 Tue</c:v>
                </c:pt>
                <c:pt idx="10">
                  <c:v>2017-10-11 Wed</c:v>
                </c:pt>
                <c:pt idx="11">
                  <c:v>2017-10-12 Thu</c:v>
                </c:pt>
                <c:pt idx="12">
                  <c:v>2017-10-13 Fri</c:v>
                </c:pt>
                <c:pt idx="13">
                  <c:v>2017-10-14 Sat</c:v>
                </c:pt>
                <c:pt idx="14">
                  <c:v>2017-10-15 Sun</c:v>
                </c:pt>
                <c:pt idx="15">
                  <c:v>2017-10-16 Mon</c:v>
                </c:pt>
                <c:pt idx="16">
                  <c:v>2017-10-17 Tue</c:v>
                </c:pt>
                <c:pt idx="17">
                  <c:v>2017-10-18 Wed</c:v>
                </c:pt>
                <c:pt idx="18">
                  <c:v>2017-10-19 Thu</c:v>
                </c:pt>
                <c:pt idx="19">
                  <c:v>2017-10-20 Fri</c:v>
                </c:pt>
                <c:pt idx="20">
                  <c:v>2017-10-21 Sat</c:v>
                </c:pt>
                <c:pt idx="21">
                  <c:v>2017-10-22 Sun</c:v>
                </c:pt>
                <c:pt idx="22">
                  <c:v>2017-10-23 Mon</c:v>
                </c:pt>
                <c:pt idx="23">
                  <c:v>2017-10-24 Tue</c:v>
                </c:pt>
                <c:pt idx="24">
                  <c:v>2017-10-25 Wed</c:v>
                </c:pt>
                <c:pt idx="25">
                  <c:v>2017-10-26 Thu</c:v>
                </c:pt>
                <c:pt idx="26">
                  <c:v>2017-10-27 Fri</c:v>
                </c:pt>
                <c:pt idx="27">
                  <c:v>2017-10-28 Sat</c:v>
                </c:pt>
                <c:pt idx="28">
                  <c:v>2017-10-29 Sun</c:v>
                </c:pt>
                <c:pt idx="29">
                  <c:v>2017-10-30 Mon</c:v>
                </c:pt>
                <c:pt idx="30">
                  <c:v>2017-10-31 Tue</c:v>
                </c:pt>
              </c:strCache>
            </c:strRef>
          </c:cat>
          <c:val>
            <c:numRef>
              <c:f>A_Glance!$B$5:$AF$5</c:f>
              <c:numCache>
                <c:formatCode>0.00%</c:formatCode>
                <c:ptCount val="31"/>
                <c:pt idx="0">
                  <c:v>0.67083333333333328</c:v>
                </c:pt>
                <c:pt idx="1">
                  <c:v>0.9375</c:v>
                </c:pt>
                <c:pt idx="2">
                  <c:v>1</c:v>
                </c:pt>
                <c:pt idx="3">
                  <c:v>0.98750000000000004</c:v>
                </c:pt>
                <c:pt idx="4">
                  <c:v>0.91666666666666663</c:v>
                </c:pt>
                <c:pt idx="5">
                  <c:v>0.79583333333333328</c:v>
                </c:pt>
                <c:pt idx="6">
                  <c:v>0.5708333333333333</c:v>
                </c:pt>
                <c:pt idx="7">
                  <c:v>0.24166666666666667</c:v>
                </c:pt>
                <c:pt idx="8">
                  <c:v>0.15833333333333333</c:v>
                </c:pt>
                <c:pt idx="9">
                  <c:v>0.1875</c:v>
                </c:pt>
                <c:pt idx="10">
                  <c:v>0.25</c:v>
                </c:pt>
                <c:pt idx="11">
                  <c:v>0.31666666666666665</c:v>
                </c:pt>
                <c:pt idx="12">
                  <c:v>0.42916666666666664</c:v>
                </c:pt>
                <c:pt idx="13">
                  <c:v>0.47083333333333333</c:v>
                </c:pt>
                <c:pt idx="14">
                  <c:v>0.27916666666666667</c:v>
                </c:pt>
                <c:pt idx="15">
                  <c:v>0.15833333333333333</c:v>
                </c:pt>
                <c:pt idx="16">
                  <c:v>0.1875</c:v>
                </c:pt>
                <c:pt idx="17">
                  <c:v>0.16666666666666666</c:v>
                </c:pt>
                <c:pt idx="18">
                  <c:v>0.125</c:v>
                </c:pt>
                <c:pt idx="19">
                  <c:v>0.1125</c:v>
                </c:pt>
                <c:pt idx="20">
                  <c:v>0.12083333333333333</c:v>
                </c:pt>
                <c:pt idx="21">
                  <c:v>8.3333333333333329E-2</c:v>
                </c:pt>
                <c:pt idx="22">
                  <c:v>5.4166666666666669E-2</c:v>
                </c:pt>
                <c:pt idx="23">
                  <c:v>6.25E-2</c:v>
                </c:pt>
                <c:pt idx="24">
                  <c:v>0.1</c:v>
                </c:pt>
                <c:pt idx="25">
                  <c:v>8.3333333333333329E-2</c:v>
                </c:pt>
                <c:pt idx="26">
                  <c:v>6.25E-2</c:v>
                </c:pt>
                <c:pt idx="27">
                  <c:v>3.7499999999999999E-2</c:v>
                </c:pt>
                <c:pt idx="28">
                  <c:v>8.3333333333333332E-3</c:v>
                </c:pt>
                <c:pt idx="29">
                  <c:v>8.3333333333333332E-3</c:v>
                </c:pt>
                <c:pt idx="30">
                  <c:v>8.3333333333333332E-3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A_Glance!$A$6</c:f>
              <c:strCache>
                <c:ptCount val="1"/>
                <c:pt idx="0">
                  <c:v>Group</c:v>
                </c:pt>
              </c:strCache>
            </c:strRef>
          </c:tx>
          <c:spPr>
            <a:ln w="12700" cap="rnd">
              <a:solidFill>
                <a:srgbClr val="FF33C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33CC"/>
              </a:solidFill>
              <a:ln w="9525">
                <a:noFill/>
              </a:ln>
              <a:effectLst/>
            </c:spPr>
          </c:marker>
          <c:cat>
            <c:strRef>
              <c:f>A_Glance!$B$3:$AF$3</c:f>
              <c:strCache>
                <c:ptCount val="31"/>
                <c:pt idx="0">
                  <c:v>2017-10-01 Sun</c:v>
                </c:pt>
                <c:pt idx="1">
                  <c:v>2017-10-02 Mon</c:v>
                </c:pt>
                <c:pt idx="2">
                  <c:v>2017-10-03 Tue</c:v>
                </c:pt>
                <c:pt idx="3">
                  <c:v>2017-10-04 Wed</c:v>
                </c:pt>
                <c:pt idx="4">
                  <c:v>2017-10-05 Thu</c:v>
                </c:pt>
                <c:pt idx="5">
                  <c:v>2017-10-06 Fri</c:v>
                </c:pt>
                <c:pt idx="6">
                  <c:v>2017-10-07 Sat</c:v>
                </c:pt>
                <c:pt idx="7">
                  <c:v>2017-10-08 Sun</c:v>
                </c:pt>
                <c:pt idx="8">
                  <c:v>2017-10-09 Mon</c:v>
                </c:pt>
                <c:pt idx="9">
                  <c:v>2017-10-10 Tue</c:v>
                </c:pt>
                <c:pt idx="10">
                  <c:v>2017-10-11 Wed</c:v>
                </c:pt>
                <c:pt idx="11">
                  <c:v>2017-10-12 Thu</c:v>
                </c:pt>
                <c:pt idx="12">
                  <c:v>2017-10-13 Fri</c:v>
                </c:pt>
                <c:pt idx="13">
                  <c:v>2017-10-14 Sat</c:v>
                </c:pt>
                <c:pt idx="14">
                  <c:v>2017-10-15 Sun</c:v>
                </c:pt>
                <c:pt idx="15">
                  <c:v>2017-10-16 Mon</c:v>
                </c:pt>
                <c:pt idx="16">
                  <c:v>2017-10-17 Tue</c:v>
                </c:pt>
                <c:pt idx="17">
                  <c:v>2017-10-18 Wed</c:v>
                </c:pt>
                <c:pt idx="18">
                  <c:v>2017-10-19 Thu</c:v>
                </c:pt>
                <c:pt idx="19">
                  <c:v>2017-10-20 Fri</c:v>
                </c:pt>
                <c:pt idx="20">
                  <c:v>2017-10-21 Sat</c:v>
                </c:pt>
                <c:pt idx="21">
                  <c:v>2017-10-22 Sun</c:v>
                </c:pt>
                <c:pt idx="22">
                  <c:v>2017-10-23 Mon</c:v>
                </c:pt>
                <c:pt idx="23">
                  <c:v>2017-10-24 Tue</c:v>
                </c:pt>
                <c:pt idx="24">
                  <c:v>2017-10-25 Wed</c:v>
                </c:pt>
                <c:pt idx="25">
                  <c:v>2017-10-26 Thu</c:v>
                </c:pt>
                <c:pt idx="26">
                  <c:v>2017-10-27 Fri</c:v>
                </c:pt>
                <c:pt idx="27">
                  <c:v>2017-10-28 Sat</c:v>
                </c:pt>
                <c:pt idx="28">
                  <c:v>2017-10-29 Sun</c:v>
                </c:pt>
                <c:pt idx="29">
                  <c:v>2017-10-30 Mon</c:v>
                </c:pt>
                <c:pt idx="30">
                  <c:v>2017-10-31 Tue</c:v>
                </c:pt>
              </c:strCache>
            </c:strRef>
          </c:cat>
          <c:val>
            <c:numRef>
              <c:f>A_Glance!$B$6:$AF$6</c:f>
              <c:numCache>
                <c:formatCode>0.00%</c:formatCode>
                <c:ptCount val="31"/>
                <c:pt idx="0">
                  <c:v>0.05</c:v>
                </c:pt>
                <c:pt idx="1">
                  <c:v>1.2500000000000001E-2</c:v>
                </c:pt>
                <c:pt idx="2">
                  <c:v>0</c:v>
                </c:pt>
                <c:pt idx="3">
                  <c:v>4.1666666666666666E-3</c:v>
                </c:pt>
                <c:pt idx="4">
                  <c:v>3.3333333333333333E-2</c:v>
                </c:pt>
                <c:pt idx="5">
                  <c:v>3.3333333333333333E-2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4.1666666666666666E-3</c:v>
                </c:pt>
                <c:pt idx="10">
                  <c:v>0.1125</c:v>
                </c:pt>
                <c:pt idx="11">
                  <c:v>0.1125</c:v>
                </c:pt>
                <c:pt idx="12">
                  <c:v>0</c:v>
                </c:pt>
                <c:pt idx="13">
                  <c:v>0</c:v>
                </c:pt>
                <c:pt idx="14">
                  <c:v>8.3333333333333332E-3</c:v>
                </c:pt>
                <c:pt idx="15">
                  <c:v>1.6666666666666666E-2</c:v>
                </c:pt>
                <c:pt idx="16">
                  <c:v>0.1</c:v>
                </c:pt>
                <c:pt idx="17">
                  <c:v>0.17499999999999999</c:v>
                </c:pt>
                <c:pt idx="18">
                  <c:v>0.14166666666666666</c:v>
                </c:pt>
                <c:pt idx="19">
                  <c:v>1.2500000000000001E-2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2.0833333333333332E-2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A_Glance!$A$7</c:f>
              <c:strCache>
                <c:ptCount val="1"/>
                <c:pt idx="0">
                  <c:v>Forecast</c:v>
                </c:pt>
              </c:strCache>
            </c:strRef>
          </c:tx>
          <c:spPr>
            <a:ln w="1270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noFill/>
              </a:ln>
              <a:effectLst/>
            </c:spPr>
          </c:marker>
          <c:cat>
            <c:strRef>
              <c:f>A_Glance!$B$3:$AF$3</c:f>
              <c:strCache>
                <c:ptCount val="31"/>
                <c:pt idx="0">
                  <c:v>2017-10-01 Sun</c:v>
                </c:pt>
                <c:pt idx="1">
                  <c:v>2017-10-02 Mon</c:v>
                </c:pt>
                <c:pt idx="2">
                  <c:v>2017-10-03 Tue</c:v>
                </c:pt>
                <c:pt idx="3">
                  <c:v>2017-10-04 Wed</c:v>
                </c:pt>
                <c:pt idx="4">
                  <c:v>2017-10-05 Thu</c:v>
                </c:pt>
                <c:pt idx="5">
                  <c:v>2017-10-06 Fri</c:v>
                </c:pt>
                <c:pt idx="6">
                  <c:v>2017-10-07 Sat</c:v>
                </c:pt>
                <c:pt idx="7">
                  <c:v>2017-10-08 Sun</c:v>
                </c:pt>
                <c:pt idx="8">
                  <c:v>2017-10-09 Mon</c:v>
                </c:pt>
                <c:pt idx="9">
                  <c:v>2017-10-10 Tue</c:v>
                </c:pt>
                <c:pt idx="10">
                  <c:v>2017-10-11 Wed</c:v>
                </c:pt>
                <c:pt idx="11">
                  <c:v>2017-10-12 Thu</c:v>
                </c:pt>
                <c:pt idx="12">
                  <c:v>2017-10-13 Fri</c:v>
                </c:pt>
                <c:pt idx="13">
                  <c:v>2017-10-14 Sat</c:v>
                </c:pt>
                <c:pt idx="14">
                  <c:v>2017-10-15 Sun</c:v>
                </c:pt>
                <c:pt idx="15">
                  <c:v>2017-10-16 Mon</c:v>
                </c:pt>
                <c:pt idx="16">
                  <c:v>2017-10-17 Tue</c:v>
                </c:pt>
                <c:pt idx="17">
                  <c:v>2017-10-18 Wed</c:v>
                </c:pt>
                <c:pt idx="18">
                  <c:v>2017-10-19 Thu</c:v>
                </c:pt>
                <c:pt idx="19">
                  <c:v>2017-10-20 Fri</c:v>
                </c:pt>
                <c:pt idx="20">
                  <c:v>2017-10-21 Sat</c:v>
                </c:pt>
                <c:pt idx="21">
                  <c:v>2017-10-22 Sun</c:v>
                </c:pt>
                <c:pt idx="22">
                  <c:v>2017-10-23 Mon</c:v>
                </c:pt>
                <c:pt idx="23">
                  <c:v>2017-10-24 Tue</c:v>
                </c:pt>
                <c:pt idx="24">
                  <c:v>2017-10-25 Wed</c:v>
                </c:pt>
                <c:pt idx="25">
                  <c:v>2017-10-26 Thu</c:v>
                </c:pt>
                <c:pt idx="26">
                  <c:v>2017-10-27 Fri</c:v>
                </c:pt>
                <c:pt idx="27">
                  <c:v>2017-10-28 Sat</c:v>
                </c:pt>
                <c:pt idx="28">
                  <c:v>2017-10-29 Sun</c:v>
                </c:pt>
                <c:pt idx="29">
                  <c:v>2017-10-30 Mon</c:v>
                </c:pt>
                <c:pt idx="30">
                  <c:v>2017-10-31 Tue</c:v>
                </c:pt>
              </c:strCache>
            </c:strRef>
          </c:cat>
          <c:val>
            <c:numRef>
              <c:f>A_Glance!$B$7:$AF$7</c:f>
              <c:numCache>
                <c:formatCode>0.00%</c:formatCode>
                <c:ptCount val="31"/>
                <c:pt idx="0">
                  <c:v>0.84583333333333333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0.80833333333333335</c:v>
                </c:pt>
                <c:pt idx="6">
                  <c:v>0.57916666666666672</c:v>
                </c:pt>
                <c:pt idx="7">
                  <c:v>0.25833333333333336</c:v>
                </c:pt>
                <c:pt idx="8">
                  <c:v>0.15833333333333333</c:v>
                </c:pt>
                <c:pt idx="9">
                  <c:v>0.21666666666666667</c:v>
                </c:pt>
                <c:pt idx="10">
                  <c:v>0.35833333333333334</c:v>
                </c:pt>
                <c:pt idx="11">
                  <c:v>0.44583333333333336</c:v>
                </c:pt>
                <c:pt idx="12">
                  <c:v>0.4375</c:v>
                </c:pt>
                <c:pt idx="13">
                  <c:v>0.45833333333333331</c:v>
                </c:pt>
                <c:pt idx="14">
                  <c:v>0.31666666666666665</c:v>
                </c:pt>
                <c:pt idx="15">
                  <c:v>0.28749999999999998</c:v>
                </c:pt>
                <c:pt idx="16">
                  <c:v>0.49583333333333335</c:v>
                </c:pt>
                <c:pt idx="17">
                  <c:v>0.6</c:v>
                </c:pt>
                <c:pt idx="18">
                  <c:v>0.54166666666666663</c:v>
                </c:pt>
                <c:pt idx="19">
                  <c:v>0.51666666666666672</c:v>
                </c:pt>
                <c:pt idx="20">
                  <c:v>0.54583333333333328</c:v>
                </c:pt>
                <c:pt idx="21">
                  <c:v>0.43333333333333335</c:v>
                </c:pt>
                <c:pt idx="22">
                  <c:v>0.35833333333333334</c:v>
                </c:pt>
                <c:pt idx="23">
                  <c:v>0.39583333333333331</c:v>
                </c:pt>
                <c:pt idx="24">
                  <c:v>0.45833333333333331</c:v>
                </c:pt>
                <c:pt idx="25">
                  <c:v>0.47499999999999998</c:v>
                </c:pt>
                <c:pt idx="26">
                  <c:v>0.51666666666666672</c:v>
                </c:pt>
                <c:pt idx="27">
                  <c:v>0.5</c:v>
                </c:pt>
                <c:pt idx="28">
                  <c:v>0.36249999999999999</c:v>
                </c:pt>
                <c:pt idx="29">
                  <c:v>0.33750000000000002</c:v>
                </c:pt>
                <c:pt idx="30">
                  <c:v>0.35833333333333334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388192"/>
        <c:axId val="408388752"/>
      </c:lineChart>
      <c:catAx>
        <c:axId val="4083881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ysClr val="windowText" lastClr="000000"/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r>
                  <a:rPr lang="en-US" altLang="zh-CN" sz="800" b="1"/>
                  <a:t>Occupancy Date</a:t>
                </a:r>
                <a:endParaRPr lang="zh-CN" altLang="en-US" sz="800" b="1"/>
              </a:p>
            </c:rich>
          </c:tx>
          <c:layout>
            <c:manualLayout>
              <c:xMode val="edge"/>
              <c:yMode val="edge"/>
              <c:x val="0.45575675517397307"/>
              <c:y val="0.8944092799909332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ysClr val="windowText" lastClr="000000"/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0" spcFirstLastPara="1" vertOverflow="ellipsis" vert="eaVert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408388752"/>
        <c:crosses val="autoZero"/>
        <c:auto val="1"/>
        <c:lblAlgn val="ctr"/>
        <c:lblOffset val="100"/>
        <c:noMultiLvlLbl val="1"/>
      </c:catAx>
      <c:valAx>
        <c:axId val="408388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ysClr val="windowText" lastClr="000000"/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r>
                  <a:rPr lang="en-US" altLang="zh-CN" sz="800" b="1"/>
                  <a:t>% Room Sold</a:t>
                </a:r>
                <a:endParaRPr lang="zh-CN" altLang="en-US" sz="800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ysClr val="windowText" lastClr="000000"/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+mn-cs"/>
                </a:defRPr>
              </a:pPr>
              <a:endParaRPr lang="zh-CN"/>
            </a:p>
          </c:txPr>
        </c:title>
        <c:numFmt formatCode="0%" sourceLinked="0"/>
        <c:majorTickMark val="in"/>
        <c:minorTickMark val="none"/>
        <c:tickLblPos val="nextTo"/>
        <c:spPr>
          <a:noFill/>
          <a:ln>
            <a:solidFill>
              <a:schemeClr val="bg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408388192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35447234951950879"/>
          <c:y val="0.95372106060216866"/>
          <c:w val="0.29105530096098242"/>
          <c:h val="4.62789393978312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微软雅黑" panose="020B0503020204020204" pitchFamily="34" charset="-122"/>
          <a:ea typeface="微软雅黑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7245406824147E-2"/>
          <c:y val="0.11158717335861452"/>
          <c:w val="0.81024658792650928"/>
          <c:h val="0.56418717424879716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Date_Report!$A$4</c:f>
              <c:strCache>
                <c:ptCount val="1"/>
                <c:pt idx="0">
                  <c:v>Rooms Sold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FF0000"/>
              </a:solidFill>
            </a:ln>
            <a:effectLst/>
          </c:spPr>
          <c:invertIfNegative val="0"/>
          <c:cat>
            <c:strRef>
              <c:f>Date_Report!$B$3:$AF$3</c:f>
              <c:strCache>
                <c:ptCount val="31"/>
                <c:pt idx="0">
                  <c:v>2017-10-01 Sun</c:v>
                </c:pt>
                <c:pt idx="1">
                  <c:v>2017-10-02 Mon</c:v>
                </c:pt>
                <c:pt idx="2">
                  <c:v>2017-10-03 Tue</c:v>
                </c:pt>
                <c:pt idx="3">
                  <c:v>2017-10-04 Wed</c:v>
                </c:pt>
                <c:pt idx="4">
                  <c:v>2017-10-05 Thu</c:v>
                </c:pt>
                <c:pt idx="5">
                  <c:v>2017-10-06 Fri</c:v>
                </c:pt>
                <c:pt idx="6">
                  <c:v>2017-10-07 Sat</c:v>
                </c:pt>
                <c:pt idx="7">
                  <c:v>2017-10-08 Sun</c:v>
                </c:pt>
                <c:pt idx="8">
                  <c:v>2017-10-09 Mon</c:v>
                </c:pt>
                <c:pt idx="9">
                  <c:v>2017-10-10 Tue</c:v>
                </c:pt>
                <c:pt idx="10">
                  <c:v>2017-10-11 Wed</c:v>
                </c:pt>
                <c:pt idx="11">
                  <c:v>2017-10-12 Thu</c:v>
                </c:pt>
                <c:pt idx="12">
                  <c:v>2017-10-13 Fri</c:v>
                </c:pt>
                <c:pt idx="13">
                  <c:v>2017-10-14 Sat</c:v>
                </c:pt>
                <c:pt idx="14">
                  <c:v>2017-10-15 Sun</c:v>
                </c:pt>
                <c:pt idx="15">
                  <c:v>2017-10-16 Mon</c:v>
                </c:pt>
                <c:pt idx="16">
                  <c:v>2017-10-17 Tue</c:v>
                </c:pt>
                <c:pt idx="17">
                  <c:v>2017-10-18 Wed</c:v>
                </c:pt>
                <c:pt idx="18">
                  <c:v>2017-10-19 Thu</c:v>
                </c:pt>
                <c:pt idx="19">
                  <c:v>2017-10-20 Fri</c:v>
                </c:pt>
                <c:pt idx="20">
                  <c:v>2017-10-21 Sat</c:v>
                </c:pt>
                <c:pt idx="21">
                  <c:v>2017-10-22 Sun</c:v>
                </c:pt>
                <c:pt idx="22">
                  <c:v>2017-10-23 Mon</c:v>
                </c:pt>
                <c:pt idx="23">
                  <c:v>2017-10-24 Tue</c:v>
                </c:pt>
                <c:pt idx="24">
                  <c:v>2017-10-25 Wed</c:v>
                </c:pt>
                <c:pt idx="25">
                  <c:v>2017-10-26 Thu</c:v>
                </c:pt>
                <c:pt idx="26">
                  <c:v>2017-10-27 Fri</c:v>
                </c:pt>
                <c:pt idx="27">
                  <c:v>2017-10-28 Sat</c:v>
                </c:pt>
                <c:pt idx="28">
                  <c:v>2017-10-29 Sun</c:v>
                </c:pt>
                <c:pt idx="29">
                  <c:v>2017-10-30 Mon</c:v>
                </c:pt>
                <c:pt idx="30">
                  <c:v>2017-10-31 Tue</c:v>
                </c:pt>
              </c:strCache>
            </c:strRef>
          </c:cat>
          <c:val>
            <c:numRef>
              <c:f>Date_Report!$B$4:$AF$4</c:f>
              <c:numCache>
                <c:formatCode>0_);[Red]\(0\)</c:formatCode>
                <c:ptCount val="31"/>
                <c:pt idx="0">
                  <c:v>173</c:v>
                </c:pt>
                <c:pt idx="1">
                  <c:v>228</c:v>
                </c:pt>
                <c:pt idx="2">
                  <c:v>240</c:v>
                </c:pt>
                <c:pt idx="3">
                  <c:v>238</c:v>
                </c:pt>
                <c:pt idx="4">
                  <c:v>228</c:v>
                </c:pt>
                <c:pt idx="5">
                  <c:v>199</c:v>
                </c:pt>
                <c:pt idx="6">
                  <c:v>137</c:v>
                </c:pt>
                <c:pt idx="7">
                  <c:v>58</c:v>
                </c:pt>
                <c:pt idx="8">
                  <c:v>38</c:v>
                </c:pt>
                <c:pt idx="9">
                  <c:v>46</c:v>
                </c:pt>
                <c:pt idx="10">
                  <c:v>87</c:v>
                </c:pt>
                <c:pt idx="11">
                  <c:v>103</c:v>
                </c:pt>
                <c:pt idx="12">
                  <c:v>103</c:v>
                </c:pt>
                <c:pt idx="13">
                  <c:v>113</c:v>
                </c:pt>
                <c:pt idx="14">
                  <c:v>69</c:v>
                </c:pt>
                <c:pt idx="15">
                  <c:v>42</c:v>
                </c:pt>
                <c:pt idx="16">
                  <c:v>69</c:v>
                </c:pt>
                <c:pt idx="17">
                  <c:v>82</c:v>
                </c:pt>
                <c:pt idx="18">
                  <c:v>64</c:v>
                </c:pt>
                <c:pt idx="19">
                  <c:v>30</c:v>
                </c:pt>
                <c:pt idx="20">
                  <c:v>29</c:v>
                </c:pt>
                <c:pt idx="21">
                  <c:v>20</c:v>
                </c:pt>
                <c:pt idx="22">
                  <c:v>13</c:v>
                </c:pt>
                <c:pt idx="23">
                  <c:v>15</c:v>
                </c:pt>
                <c:pt idx="24">
                  <c:v>24</c:v>
                </c:pt>
                <c:pt idx="25">
                  <c:v>25</c:v>
                </c:pt>
                <c:pt idx="26">
                  <c:v>15</c:v>
                </c:pt>
                <c:pt idx="27">
                  <c:v>9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410741184"/>
        <c:axId val="410741744"/>
      </c:barChart>
      <c:lineChart>
        <c:grouping val="standard"/>
        <c:varyColors val="0"/>
        <c:ser>
          <c:idx val="2"/>
          <c:order val="1"/>
          <c:tx>
            <c:strRef>
              <c:f>Date_Report!$A$5</c:f>
              <c:strCache>
                <c:ptCount val="1"/>
                <c:pt idx="0">
                  <c:v>ADR</c:v>
                </c:pt>
              </c:strCache>
            </c:strRef>
          </c:tx>
          <c:spPr>
            <a:ln w="12700" cap="rnd">
              <a:solidFill>
                <a:sysClr val="windowText" lastClr="0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Date_Report!$B$3:$AF$3</c:f>
              <c:strCache>
                <c:ptCount val="31"/>
                <c:pt idx="0">
                  <c:v>2017-10-01 Sun</c:v>
                </c:pt>
                <c:pt idx="1">
                  <c:v>2017-10-02 Mon</c:v>
                </c:pt>
                <c:pt idx="2">
                  <c:v>2017-10-03 Tue</c:v>
                </c:pt>
                <c:pt idx="3">
                  <c:v>2017-10-04 Wed</c:v>
                </c:pt>
                <c:pt idx="4">
                  <c:v>2017-10-05 Thu</c:v>
                </c:pt>
                <c:pt idx="5">
                  <c:v>2017-10-06 Fri</c:v>
                </c:pt>
                <c:pt idx="6">
                  <c:v>2017-10-07 Sat</c:v>
                </c:pt>
                <c:pt idx="7">
                  <c:v>2017-10-08 Sun</c:v>
                </c:pt>
                <c:pt idx="8">
                  <c:v>2017-10-09 Mon</c:v>
                </c:pt>
                <c:pt idx="9">
                  <c:v>2017-10-10 Tue</c:v>
                </c:pt>
                <c:pt idx="10">
                  <c:v>2017-10-11 Wed</c:v>
                </c:pt>
                <c:pt idx="11">
                  <c:v>2017-10-12 Thu</c:v>
                </c:pt>
                <c:pt idx="12">
                  <c:v>2017-10-13 Fri</c:v>
                </c:pt>
                <c:pt idx="13">
                  <c:v>2017-10-14 Sat</c:v>
                </c:pt>
                <c:pt idx="14">
                  <c:v>2017-10-15 Sun</c:v>
                </c:pt>
                <c:pt idx="15">
                  <c:v>2017-10-16 Mon</c:v>
                </c:pt>
                <c:pt idx="16">
                  <c:v>2017-10-17 Tue</c:v>
                </c:pt>
                <c:pt idx="17">
                  <c:v>2017-10-18 Wed</c:v>
                </c:pt>
                <c:pt idx="18">
                  <c:v>2017-10-19 Thu</c:v>
                </c:pt>
                <c:pt idx="19">
                  <c:v>2017-10-20 Fri</c:v>
                </c:pt>
                <c:pt idx="20">
                  <c:v>2017-10-21 Sat</c:v>
                </c:pt>
                <c:pt idx="21">
                  <c:v>2017-10-22 Sun</c:v>
                </c:pt>
                <c:pt idx="22">
                  <c:v>2017-10-23 Mon</c:v>
                </c:pt>
                <c:pt idx="23">
                  <c:v>2017-10-24 Tue</c:v>
                </c:pt>
                <c:pt idx="24">
                  <c:v>2017-10-25 Wed</c:v>
                </c:pt>
                <c:pt idx="25">
                  <c:v>2017-10-26 Thu</c:v>
                </c:pt>
                <c:pt idx="26">
                  <c:v>2017-10-27 Fri</c:v>
                </c:pt>
                <c:pt idx="27">
                  <c:v>2017-10-28 Sat</c:v>
                </c:pt>
                <c:pt idx="28">
                  <c:v>2017-10-29 Sun</c:v>
                </c:pt>
                <c:pt idx="29">
                  <c:v>2017-10-30 Mon</c:v>
                </c:pt>
                <c:pt idx="30">
                  <c:v>2017-10-31 Tue</c:v>
                </c:pt>
              </c:strCache>
            </c:strRef>
          </c:cat>
          <c:val>
            <c:numRef>
              <c:f>Date_Report!$B$5:$AF$5</c:f>
              <c:numCache>
                <c:formatCode>0.00_);[Red]\(0.00\)</c:formatCode>
                <c:ptCount val="31"/>
                <c:pt idx="0">
                  <c:v>957.46907514450868</c:v>
                </c:pt>
                <c:pt idx="1">
                  <c:v>1157.0998245614035</c:v>
                </c:pt>
                <c:pt idx="2">
                  <c:v>1247.4598333333333</c:v>
                </c:pt>
                <c:pt idx="3">
                  <c:v>1211.0353361344537</c:v>
                </c:pt>
                <c:pt idx="4">
                  <c:v>1150.9672807017544</c:v>
                </c:pt>
                <c:pt idx="5">
                  <c:v>1086.5435678391962</c:v>
                </c:pt>
                <c:pt idx="6">
                  <c:v>1054.2233576642336</c:v>
                </c:pt>
                <c:pt idx="7">
                  <c:v>1022.3172413793104</c:v>
                </c:pt>
                <c:pt idx="8">
                  <c:v>1043.1015789473684</c:v>
                </c:pt>
                <c:pt idx="9">
                  <c:v>1149.1647826086958</c:v>
                </c:pt>
                <c:pt idx="10">
                  <c:v>861.63873563218397</c:v>
                </c:pt>
                <c:pt idx="11">
                  <c:v>925.17058252427194</c:v>
                </c:pt>
                <c:pt idx="12">
                  <c:v>1021.5754368932039</c:v>
                </c:pt>
                <c:pt idx="13">
                  <c:v>1048.1623008849558</c:v>
                </c:pt>
                <c:pt idx="14">
                  <c:v>932.1037681159421</c:v>
                </c:pt>
                <c:pt idx="15">
                  <c:v>850.48261904761898</c:v>
                </c:pt>
                <c:pt idx="16">
                  <c:v>881.77811594202899</c:v>
                </c:pt>
                <c:pt idx="17">
                  <c:v>863.09134146341466</c:v>
                </c:pt>
                <c:pt idx="18">
                  <c:v>808.24796875000004</c:v>
                </c:pt>
                <c:pt idx="19">
                  <c:v>708.37166666666667</c:v>
                </c:pt>
                <c:pt idx="20">
                  <c:v>879.03655172413801</c:v>
                </c:pt>
                <c:pt idx="21">
                  <c:v>918.43500000000006</c:v>
                </c:pt>
                <c:pt idx="22">
                  <c:v>1069.626923076923</c:v>
                </c:pt>
                <c:pt idx="23">
                  <c:v>819.13666666666666</c:v>
                </c:pt>
                <c:pt idx="24">
                  <c:v>866.64458333333334</c:v>
                </c:pt>
                <c:pt idx="25">
                  <c:v>814.61399999999992</c:v>
                </c:pt>
                <c:pt idx="26">
                  <c:v>931.79466666666667</c:v>
                </c:pt>
                <c:pt idx="27">
                  <c:v>812.63777777777773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Date_Report!$A$6</c:f>
              <c:strCache>
                <c:ptCount val="1"/>
                <c:pt idx="0">
                  <c:v>RevPAR</c:v>
                </c:pt>
              </c:strCache>
            </c:strRef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strRef>
              <c:f>Date_Report!$B$3:$AF$3</c:f>
              <c:strCache>
                <c:ptCount val="31"/>
                <c:pt idx="0">
                  <c:v>2017-10-01 Sun</c:v>
                </c:pt>
                <c:pt idx="1">
                  <c:v>2017-10-02 Mon</c:v>
                </c:pt>
                <c:pt idx="2">
                  <c:v>2017-10-03 Tue</c:v>
                </c:pt>
                <c:pt idx="3">
                  <c:v>2017-10-04 Wed</c:v>
                </c:pt>
                <c:pt idx="4">
                  <c:v>2017-10-05 Thu</c:v>
                </c:pt>
                <c:pt idx="5">
                  <c:v>2017-10-06 Fri</c:v>
                </c:pt>
                <c:pt idx="6">
                  <c:v>2017-10-07 Sat</c:v>
                </c:pt>
                <c:pt idx="7">
                  <c:v>2017-10-08 Sun</c:v>
                </c:pt>
                <c:pt idx="8">
                  <c:v>2017-10-09 Mon</c:v>
                </c:pt>
                <c:pt idx="9">
                  <c:v>2017-10-10 Tue</c:v>
                </c:pt>
                <c:pt idx="10">
                  <c:v>2017-10-11 Wed</c:v>
                </c:pt>
                <c:pt idx="11">
                  <c:v>2017-10-12 Thu</c:v>
                </c:pt>
                <c:pt idx="12">
                  <c:v>2017-10-13 Fri</c:v>
                </c:pt>
                <c:pt idx="13">
                  <c:v>2017-10-14 Sat</c:v>
                </c:pt>
                <c:pt idx="14">
                  <c:v>2017-10-15 Sun</c:v>
                </c:pt>
                <c:pt idx="15">
                  <c:v>2017-10-16 Mon</c:v>
                </c:pt>
                <c:pt idx="16">
                  <c:v>2017-10-17 Tue</c:v>
                </c:pt>
                <c:pt idx="17">
                  <c:v>2017-10-18 Wed</c:v>
                </c:pt>
                <c:pt idx="18">
                  <c:v>2017-10-19 Thu</c:v>
                </c:pt>
                <c:pt idx="19">
                  <c:v>2017-10-20 Fri</c:v>
                </c:pt>
                <c:pt idx="20">
                  <c:v>2017-10-21 Sat</c:v>
                </c:pt>
                <c:pt idx="21">
                  <c:v>2017-10-22 Sun</c:v>
                </c:pt>
                <c:pt idx="22">
                  <c:v>2017-10-23 Mon</c:v>
                </c:pt>
                <c:pt idx="23">
                  <c:v>2017-10-24 Tue</c:v>
                </c:pt>
                <c:pt idx="24">
                  <c:v>2017-10-25 Wed</c:v>
                </c:pt>
                <c:pt idx="25">
                  <c:v>2017-10-26 Thu</c:v>
                </c:pt>
                <c:pt idx="26">
                  <c:v>2017-10-27 Fri</c:v>
                </c:pt>
                <c:pt idx="27">
                  <c:v>2017-10-28 Sat</c:v>
                </c:pt>
                <c:pt idx="28">
                  <c:v>2017-10-29 Sun</c:v>
                </c:pt>
                <c:pt idx="29">
                  <c:v>2017-10-30 Mon</c:v>
                </c:pt>
                <c:pt idx="30">
                  <c:v>2017-10-31 Tue</c:v>
                </c:pt>
              </c:strCache>
            </c:strRef>
          </c:cat>
          <c:val>
            <c:numRef>
              <c:f>Date_Report!$B$6:$AF$6</c:f>
              <c:numCache>
                <c:formatCode>0.00_);[Red]\(0.00\)</c:formatCode>
                <c:ptCount val="31"/>
                <c:pt idx="0">
                  <c:v>690.17562499999997</c:v>
                </c:pt>
                <c:pt idx="1">
                  <c:v>1099.2448333333334</c:v>
                </c:pt>
                <c:pt idx="2">
                  <c:v>1247.4598333333333</c:v>
                </c:pt>
                <c:pt idx="3">
                  <c:v>1200.9433749999998</c:v>
                </c:pt>
                <c:pt idx="4">
                  <c:v>1093.4189166666665</c:v>
                </c:pt>
                <c:pt idx="5">
                  <c:v>900.92570833333343</c:v>
                </c:pt>
                <c:pt idx="6">
                  <c:v>601.78583333333336</c:v>
                </c:pt>
                <c:pt idx="7">
                  <c:v>247.06</c:v>
                </c:pt>
                <c:pt idx="8">
                  <c:v>165.15774999999999</c:v>
                </c:pt>
                <c:pt idx="9">
                  <c:v>220.25658333333334</c:v>
                </c:pt>
                <c:pt idx="10">
                  <c:v>312.34404166666667</c:v>
                </c:pt>
                <c:pt idx="11">
                  <c:v>397.05237500000004</c:v>
                </c:pt>
                <c:pt idx="12">
                  <c:v>438.42612500000001</c:v>
                </c:pt>
                <c:pt idx="13">
                  <c:v>493.50975</c:v>
                </c:pt>
                <c:pt idx="14">
                  <c:v>267.97983333333337</c:v>
                </c:pt>
                <c:pt idx="15">
                  <c:v>148.83445833333332</c:v>
                </c:pt>
                <c:pt idx="16">
                  <c:v>253.51120833333334</c:v>
                </c:pt>
                <c:pt idx="17">
                  <c:v>294.88954166666667</c:v>
                </c:pt>
                <c:pt idx="18">
                  <c:v>215.53279166666667</c:v>
                </c:pt>
                <c:pt idx="19">
                  <c:v>88.546458333333334</c:v>
                </c:pt>
                <c:pt idx="20">
                  <c:v>106.21691666666668</c:v>
                </c:pt>
                <c:pt idx="21">
                  <c:v>76.53625000000001</c:v>
                </c:pt>
                <c:pt idx="22">
                  <c:v>57.938124999999999</c:v>
                </c:pt>
                <c:pt idx="23">
                  <c:v>51.196041666666666</c:v>
                </c:pt>
                <c:pt idx="24">
                  <c:v>86.664458333333343</c:v>
                </c:pt>
                <c:pt idx="25">
                  <c:v>84.855624999999989</c:v>
                </c:pt>
                <c:pt idx="26">
                  <c:v>58.237166666666667</c:v>
                </c:pt>
                <c:pt idx="27">
                  <c:v>30.473916666666664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012928"/>
        <c:axId val="410012368"/>
      </c:lineChart>
      <c:catAx>
        <c:axId val="410741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ysClr val="windowText" lastClr="000000"/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r>
                  <a:rPr lang="en-US" altLang="zh-CN" sz="800" b="1"/>
                  <a:t>Occupancy Date</a:t>
                </a:r>
                <a:endParaRPr lang="zh-CN" altLang="en-US" sz="800" b="1"/>
              </a:p>
            </c:rich>
          </c:tx>
          <c:layout>
            <c:manualLayout>
              <c:xMode val="edge"/>
              <c:yMode val="edge"/>
              <c:x val="0.45575675517397307"/>
              <c:y val="0.8944092799909332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ysClr val="windowText" lastClr="000000"/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0" spcFirstLastPara="1" vertOverflow="ellipsis" vert="eaVert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410741744"/>
        <c:crosses val="autoZero"/>
        <c:auto val="1"/>
        <c:lblAlgn val="ctr"/>
        <c:lblOffset val="100"/>
        <c:noMultiLvlLbl val="1"/>
      </c:catAx>
      <c:valAx>
        <c:axId val="41074174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ysClr val="windowText" lastClr="000000"/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r>
                  <a:rPr lang="en-US" altLang="zh-CN" sz="800" b="1"/>
                  <a:t>Rooms</a:t>
                </a:r>
                <a:endParaRPr lang="zh-CN" altLang="en-US" sz="800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ysClr val="windowText" lastClr="000000"/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+mn-cs"/>
                </a:defRPr>
              </a:pPr>
              <a:endParaRPr lang="zh-CN"/>
            </a:p>
          </c:txPr>
        </c:title>
        <c:numFmt formatCode="#,##0_);[Red]\(#,##0\)" sourceLinked="0"/>
        <c:majorTickMark val="in"/>
        <c:minorTickMark val="none"/>
        <c:tickLblPos val="nextTo"/>
        <c:spPr>
          <a:noFill/>
          <a:ln>
            <a:solidFill>
              <a:schemeClr val="bg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410741184"/>
        <c:crosses val="autoZero"/>
        <c:crossBetween val="between"/>
      </c:valAx>
      <c:valAx>
        <c:axId val="410012368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 algn="ctr" rtl="0">
                  <a:defRPr lang="en-US" altLang="zh-CN" sz="800" b="1" i="0" u="none" strike="noStrike" kern="1200" baseline="0">
                    <a:solidFill>
                      <a:sysClr val="windowText" lastClr="000000"/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r>
                  <a:rPr lang="en-US" altLang="zh-CN" sz="800" b="1" i="0" u="none" strike="noStrike" kern="1200" baseline="0">
                    <a:solidFill>
                      <a:sysClr val="windowText" lastClr="000000"/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rPr>
                  <a:t>ADR/RevPAR(CNY)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 algn="ctr" rtl="0">
                <a:defRPr lang="en-US" altLang="zh-CN" sz="800" b="1" i="0" u="none" strike="noStrike" kern="1200" baseline="0">
                  <a:solidFill>
                    <a:sysClr val="windowText" lastClr="000000"/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+mn-cs"/>
                </a:defRPr>
              </a:pPr>
              <a:endParaRPr lang="zh-CN"/>
            </a:p>
          </c:txPr>
        </c:title>
        <c:numFmt formatCode="#,##0_);[Red]\(#,##0\)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410012928"/>
        <c:crosses val="max"/>
        <c:crossBetween val="between"/>
      </c:valAx>
      <c:catAx>
        <c:axId val="4100129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0012368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35447234951950879"/>
          <c:y val="0.95372106060216866"/>
          <c:w val="0.35226115485564302"/>
          <c:h val="4.62789393978312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微软雅黑" panose="020B0503020204020204" pitchFamily="34" charset="-122"/>
          <a:ea typeface="微软雅黑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7245406824147E-2"/>
          <c:y val="0.11158717335861452"/>
          <c:w val="0.81024658792650928"/>
          <c:h val="0.56418717424879716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Date_Report!$A$9</c:f>
              <c:strCache>
                <c:ptCount val="1"/>
                <c:pt idx="0">
                  <c:v>Rooms Sold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effectLst/>
          </c:spPr>
          <c:invertIfNegative val="0"/>
          <c:cat>
            <c:strRef>
              <c:f>Date_Report!$B$8:$AF$8</c:f>
              <c:strCache>
                <c:ptCount val="31"/>
                <c:pt idx="0">
                  <c:v>2016-10-01 Sat</c:v>
                </c:pt>
                <c:pt idx="1">
                  <c:v>2016-10-02 Sun</c:v>
                </c:pt>
                <c:pt idx="2">
                  <c:v>2016-10-03 Mon</c:v>
                </c:pt>
                <c:pt idx="3">
                  <c:v>2016-10-04 Tue</c:v>
                </c:pt>
                <c:pt idx="4">
                  <c:v>2016-10-05 Wed</c:v>
                </c:pt>
                <c:pt idx="5">
                  <c:v>2016-10-06 Thu</c:v>
                </c:pt>
                <c:pt idx="6">
                  <c:v>2016-10-07 Fri</c:v>
                </c:pt>
                <c:pt idx="7">
                  <c:v>2016-10-08 Sat</c:v>
                </c:pt>
                <c:pt idx="8">
                  <c:v>2016-10-09 Sun</c:v>
                </c:pt>
                <c:pt idx="9">
                  <c:v>2016-10-10 Mon</c:v>
                </c:pt>
                <c:pt idx="10">
                  <c:v>2016-10-11 Tue</c:v>
                </c:pt>
                <c:pt idx="11">
                  <c:v>2016-10-12 Wed</c:v>
                </c:pt>
                <c:pt idx="12">
                  <c:v>2016-10-13 Thu</c:v>
                </c:pt>
                <c:pt idx="13">
                  <c:v>2016-10-14 Fri</c:v>
                </c:pt>
                <c:pt idx="14">
                  <c:v>2016-10-15 Sat</c:v>
                </c:pt>
                <c:pt idx="15">
                  <c:v>2016-10-16 Sun</c:v>
                </c:pt>
                <c:pt idx="16">
                  <c:v>2016-10-17 Mon</c:v>
                </c:pt>
                <c:pt idx="17">
                  <c:v>2016-10-18 Tue</c:v>
                </c:pt>
                <c:pt idx="18">
                  <c:v>2016-10-19 Wed</c:v>
                </c:pt>
                <c:pt idx="19">
                  <c:v>2016-10-20 Thu</c:v>
                </c:pt>
                <c:pt idx="20">
                  <c:v>2016-10-21 Fri</c:v>
                </c:pt>
                <c:pt idx="21">
                  <c:v>2016-10-22 Sat</c:v>
                </c:pt>
                <c:pt idx="22">
                  <c:v>2016-10-23 Sun</c:v>
                </c:pt>
                <c:pt idx="23">
                  <c:v>2016-10-24 Mon</c:v>
                </c:pt>
                <c:pt idx="24">
                  <c:v>2016-10-25 Tue</c:v>
                </c:pt>
                <c:pt idx="25">
                  <c:v>2016-10-26 Wed</c:v>
                </c:pt>
                <c:pt idx="26">
                  <c:v>2016-10-27 Thu</c:v>
                </c:pt>
                <c:pt idx="27">
                  <c:v>2016-10-28 Fri</c:v>
                </c:pt>
                <c:pt idx="28">
                  <c:v>2016-10-29 Sat</c:v>
                </c:pt>
                <c:pt idx="29">
                  <c:v>2016-10-30 Sun</c:v>
                </c:pt>
                <c:pt idx="30">
                  <c:v>2016-10-31 Mon</c:v>
                </c:pt>
              </c:strCache>
            </c:strRef>
          </c:cat>
          <c:val>
            <c:numRef>
              <c:f>Date_Report!$B$9:$AF$9</c:f>
              <c:numCache>
                <c:formatCode>0_);[Red]\(0\)</c:formatCode>
                <c:ptCount val="31"/>
                <c:pt idx="0">
                  <c:v>164</c:v>
                </c:pt>
                <c:pt idx="1">
                  <c:v>203</c:v>
                </c:pt>
                <c:pt idx="2">
                  <c:v>239</c:v>
                </c:pt>
                <c:pt idx="3">
                  <c:v>237</c:v>
                </c:pt>
                <c:pt idx="4">
                  <c:v>212</c:v>
                </c:pt>
                <c:pt idx="5">
                  <c:v>107</c:v>
                </c:pt>
                <c:pt idx="6">
                  <c:v>69</c:v>
                </c:pt>
                <c:pt idx="7">
                  <c:v>65</c:v>
                </c:pt>
                <c:pt idx="8">
                  <c:v>65</c:v>
                </c:pt>
                <c:pt idx="9">
                  <c:v>122</c:v>
                </c:pt>
                <c:pt idx="10">
                  <c:v>80</c:v>
                </c:pt>
                <c:pt idx="11">
                  <c:v>74</c:v>
                </c:pt>
                <c:pt idx="12">
                  <c:v>91</c:v>
                </c:pt>
                <c:pt idx="13">
                  <c:v>105</c:v>
                </c:pt>
                <c:pt idx="14">
                  <c:v>97</c:v>
                </c:pt>
                <c:pt idx="15">
                  <c:v>70</c:v>
                </c:pt>
                <c:pt idx="16">
                  <c:v>96</c:v>
                </c:pt>
                <c:pt idx="17">
                  <c:v>87</c:v>
                </c:pt>
                <c:pt idx="18">
                  <c:v>93</c:v>
                </c:pt>
                <c:pt idx="19">
                  <c:v>129</c:v>
                </c:pt>
                <c:pt idx="20">
                  <c:v>185</c:v>
                </c:pt>
                <c:pt idx="21">
                  <c:v>156</c:v>
                </c:pt>
                <c:pt idx="22">
                  <c:v>81</c:v>
                </c:pt>
                <c:pt idx="23">
                  <c:v>67</c:v>
                </c:pt>
                <c:pt idx="24">
                  <c:v>82</c:v>
                </c:pt>
                <c:pt idx="25">
                  <c:v>86</c:v>
                </c:pt>
                <c:pt idx="26">
                  <c:v>86</c:v>
                </c:pt>
                <c:pt idx="27">
                  <c:v>122</c:v>
                </c:pt>
                <c:pt idx="28">
                  <c:v>114</c:v>
                </c:pt>
                <c:pt idx="29">
                  <c:v>84</c:v>
                </c:pt>
                <c:pt idx="30">
                  <c:v>70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410175984"/>
        <c:axId val="410176544"/>
      </c:barChart>
      <c:lineChart>
        <c:grouping val="standard"/>
        <c:varyColors val="0"/>
        <c:ser>
          <c:idx val="2"/>
          <c:order val="1"/>
          <c:tx>
            <c:strRef>
              <c:f>Date_Report!$A$10</c:f>
              <c:strCache>
                <c:ptCount val="1"/>
                <c:pt idx="0">
                  <c:v>ADR</c:v>
                </c:pt>
              </c:strCache>
            </c:strRef>
          </c:tx>
          <c:spPr>
            <a:ln w="6350" cap="rnd">
              <a:solidFill>
                <a:sysClr val="windowText" lastClr="0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Ref>
              <c:f>Date_Report!$B$8:$AF$8</c:f>
              <c:strCache>
                <c:ptCount val="31"/>
                <c:pt idx="0">
                  <c:v>2016-10-01 Sat</c:v>
                </c:pt>
                <c:pt idx="1">
                  <c:v>2016-10-02 Sun</c:v>
                </c:pt>
                <c:pt idx="2">
                  <c:v>2016-10-03 Mon</c:v>
                </c:pt>
                <c:pt idx="3">
                  <c:v>2016-10-04 Tue</c:v>
                </c:pt>
                <c:pt idx="4">
                  <c:v>2016-10-05 Wed</c:v>
                </c:pt>
                <c:pt idx="5">
                  <c:v>2016-10-06 Thu</c:v>
                </c:pt>
                <c:pt idx="6">
                  <c:v>2016-10-07 Fri</c:v>
                </c:pt>
                <c:pt idx="7">
                  <c:v>2016-10-08 Sat</c:v>
                </c:pt>
                <c:pt idx="8">
                  <c:v>2016-10-09 Sun</c:v>
                </c:pt>
                <c:pt idx="9">
                  <c:v>2016-10-10 Mon</c:v>
                </c:pt>
                <c:pt idx="10">
                  <c:v>2016-10-11 Tue</c:v>
                </c:pt>
                <c:pt idx="11">
                  <c:v>2016-10-12 Wed</c:v>
                </c:pt>
                <c:pt idx="12">
                  <c:v>2016-10-13 Thu</c:v>
                </c:pt>
                <c:pt idx="13">
                  <c:v>2016-10-14 Fri</c:v>
                </c:pt>
                <c:pt idx="14">
                  <c:v>2016-10-15 Sat</c:v>
                </c:pt>
                <c:pt idx="15">
                  <c:v>2016-10-16 Sun</c:v>
                </c:pt>
                <c:pt idx="16">
                  <c:v>2016-10-17 Mon</c:v>
                </c:pt>
                <c:pt idx="17">
                  <c:v>2016-10-18 Tue</c:v>
                </c:pt>
                <c:pt idx="18">
                  <c:v>2016-10-19 Wed</c:v>
                </c:pt>
                <c:pt idx="19">
                  <c:v>2016-10-20 Thu</c:v>
                </c:pt>
                <c:pt idx="20">
                  <c:v>2016-10-21 Fri</c:v>
                </c:pt>
                <c:pt idx="21">
                  <c:v>2016-10-22 Sat</c:v>
                </c:pt>
                <c:pt idx="22">
                  <c:v>2016-10-23 Sun</c:v>
                </c:pt>
                <c:pt idx="23">
                  <c:v>2016-10-24 Mon</c:v>
                </c:pt>
                <c:pt idx="24">
                  <c:v>2016-10-25 Tue</c:v>
                </c:pt>
                <c:pt idx="25">
                  <c:v>2016-10-26 Wed</c:v>
                </c:pt>
                <c:pt idx="26">
                  <c:v>2016-10-27 Thu</c:v>
                </c:pt>
                <c:pt idx="27">
                  <c:v>2016-10-28 Fri</c:v>
                </c:pt>
                <c:pt idx="28">
                  <c:v>2016-10-29 Sat</c:v>
                </c:pt>
                <c:pt idx="29">
                  <c:v>2016-10-30 Sun</c:v>
                </c:pt>
                <c:pt idx="30">
                  <c:v>2016-10-31 Mon</c:v>
                </c:pt>
              </c:strCache>
            </c:strRef>
          </c:cat>
          <c:val>
            <c:numRef>
              <c:f>Date_Report!$B$10:$AF$10</c:f>
              <c:numCache>
                <c:formatCode>0.00_);[Red]\(0.00\)</c:formatCode>
                <c:ptCount val="31"/>
                <c:pt idx="0">
                  <c:v>1147.4567682926829</c:v>
                </c:pt>
                <c:pt idx="1">
                  <c:v>1248.4975369458127</c:v>
                </c:pt>
                <c:pt idx="2">
                  <c:v>1402.873389121339</c:v>
                </c:pt>
                <c:pt idx="3">
                  <c:v>1393.0199156118142</c:v>
                </c:pt>
                <c:pt idx="4">
                  <c:v>1327.3129716981132</c:v>
                </c:pt>
                <c:pt idx="5">
                  <c:v>1149.036355140187</c:v>
                </c:pt>
                <c:pt idx="6">
                  <c:v>1055.7833333333333</c:v>
                </c:pt>
                <c:pt idx="7">
                  <c:v>990.3270769230769</c:v>
                </c:pt>
                <c:pt idx="8">
                  <c:v>1003.2441538461538</c:v>
                </c:pt>
                <c:pt idx="9">
                  <c:v>1000.3231967213114</c:v>
                </c:pt>
                <c:pt idx="10">
                  <c:v>947.530125</c:v>
                </c:pt>
                <c:pt idx="11">
                  <c:v>961.64337837837843</c:v>
                </c:pt>
                <c:pt idx="12">
                  <c:v>1001.7410989010989</c:v>
                </c:pt>
                <c:pt idx="13">
                  <c:v>1102.2488571428571</c:v>
                </c:pt>
                <c:pt idx="14">
                  <c:v>1114.6201030927834</c:v>
                </c:pt>
                <c:pt idx="15">
                  <c:v>1154.7817142857143</c:v>
                </c:pt>
                <c:pt idx="16">
                  <c:v>1057.5483333333334</c:v>
                </c:pt>
                <c:pt idx="17">
                  <c:v>982.1618390804598</c:v>
                </c:pt>
                <c:pt idx="18">
                  <c:v>1029.0477419354838</c:v>
                </c:pt>
                <c:pt idx="19">
                  <c:v>1001.0733333333334</c:v>
                </c:pt>
                <c:pt idx="20">
                  <c:v>1061.9426486486486</c:v>
                </c:pt>
                <c:pt idx="21">
                  <c:v>1006.4542307692307</c:v>
                </c:pt>
                <c:pt idx="22">
                  <c:v>1008.2208641975309</c:v>
                </c:pt>
                <c:pt idx="23">
                  <c:v>914.09059701492538</c:v>
                </c:pt>
                <c:pt idx="24">
                  <c:v>950.08902439024394</c:v>
                </c:pt>
                <c:pt idx="25">
                  <c:v>952.07674418604654</c:v>
                </c:pt>
                <c:pt idx="26">
                  <c:v>1082.7920930232558</c:v>
                </c:pt>
                <c:pt idx="27">
                  <c:v>958.61877049180328</c:v>
                </c:pt>
                <c:pt idx="28">
                  <c:v>1085.5542105263157</c:v>
                </c:pt>
                <c:pt idx="29">
                  <c:v>1131.5859523809524</c:v>
                </c:pt>
                <c:pt idx="30">
                  <c:v>1106.4135714285715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Date_Report!$A$11</c:f>
              <c:strCache>
                <c:ptCount val="1"/>
                <c:pt idx="0">
                  <c:v>RevPAR</c:v>
                </c:pt>
              </c:strCache>
            </c:strRef>
          </c:tx>
          <c:spPr>
            <a:ln w="31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strRef>
              <c:f>Date_Report!$B$8:$AF$8</c:f>
              <c:strCache>
                <c:ptCount val="31"/>
                <c:pt idx="0">
                  <c:v>2016-10-01 Sat</c:v>
                </c:pt>
                <c:pt idx="1">
                  <c:v>2016-10-02 Sun</c:v>
                </c:pt>
                <c:pt idx="2">
                  <c:v>2016-10-03 Mon</c:v>
                </c:pt>
                <c:pt idx="3">
                  <c:v>2016-10-04 Tue</c:v>
                </c:pt>
                <c:pt idx="4">
                  <c:v>2016-10-05 Wed</c:v>
                </c:pt>
                <c:pt idx="5">
                  <c:v>2016-10-06 Thu</c:v>
                </c:pt>
                <c:pt idx="6">
                  <c:v>2016-10-07 Fri</c:v>
                </c:pt>
                <c:pt idx="7">
                  <c:v>2016-10-08 Sat</c:v>
                </c:pt>
                <c:pt idx="8">
                  <c:v>2016-10-09 Sun</c:v>
                </c:pt>
                <c:pt idx="9">
                  <c:v>2016-10-10 Mon</c:v>
                </c:pt>
                <c:pt idx="10">
                  <c:v>2016-10-11 Tue</c:v>
                </c:pt>
                <c:pt idx="11">
                  <c:v>2016-10-12 Wed</c:v>
                </c:pt>
                <c:pt idx="12">
                  <c:v>2016-10-13 Thu</c:v>
                </c:pt>
                <c:pt idx="13">
                  <c:v>2016-10-14 Fri</c:v>
                </c:pt>
                <c:pt idx="14">
                  <c:v>2016-10-15 Sat</c:v>
                </c:pt>
                <c:pt idx="15">
                  <c:v>2016-10-16 Sun</c:v>
                </c:pt>
                <c:pt idx="16">
                  <c:v>2016-10-17 Mon</c:v>
                </c:pt>
                <c:pt idx="17">
                  <c:v>2016-10-18 Tue</c:v>
                </c:pt>
                <c:pt idx="18">
                  <c:v>2016-10-19 Wed</c:v>
                </c:pt>
                <c:pt idx="19">
                  <c:v>2016-10-20 Thu</c:v>
                </c:pt>
                <c:pt idx="20">
                  <c:v>2016-10-21 Fri</c:v>
                </c:pt>
                <c:pt idx="21">
                  <c:v>2016-10-22 Sat</c:v>
                </c:pt>
                <c:pt idx="22">
                  <c:v>2016-10-23 Sun</c:v>
                </c:pt>
                <c:pt idx="23">
                  <c:v>2016-10-24 Mon</c:v>
                </c:pt>
                <c:pt idx="24">
                  <c:v>2016-10-25 Tue</c:v>
                </c:pt>
                <c:pt idx="25">
                  <c:v>2016-10-26 Wed</c:v>
                </c:pt>
                <c:pt idx="26">
                  <c:v>2016-10-27 Thu</c:v>
                </c:pt>
                <c:pt idx="27">
                  <c:v>2016-10-28 Fri</c:v>
                </c:pt>
                <c:pt idx="28">
                  <c:v>2016-10-29 Sat</c:v>
                </c:pt>
                <c:pt idx="29">
                  <c:v>2016-10-30 Sun</c:v>
                </c:pt>
                <c:pt idx="30">
                  <c:v>2016-10-31 Mon</c:v>
                </c:pt>
              </c:strCache>
            </c:strRef>
          </c:cat>
          <c:val>
            <c:numRef>
              <c:f>Date_Report!$B$11:$AF$11</c:f>
              <c:numCache>
                <c:formatCode>0.00_);[Red]\(0.00\)</c:formatCode>
                <c:ptCount val="31"/>
                <c:pt idx="0">
                  <c:v>784.09545833333334</c:v>
                </c:pt>
                <c:pt idx="1">
                  <c:v>1056.0208333333333</c:v>
                </c:pt>
                <c:pt idx="2">
                  <c:v>1397.0280833333334</c:v>
                </c:pt>
                <c:pt idx="3">
                  <c:v>1375.6071666666664</c:v>
                </c:pt>
                <c:pt idx="4">
                  <c:v>1172.4597916666667</c:v>
                </c:pt>
                <c:pt idx="5">
                  <c:v>512.27870833333338</c:v>
                </c:pt>
                <c:pt idx="6">
                  <c:v>303.53770833333334</c:v>
                </c:pt>
                <c:pt idx="7">
                  <c:v>268.21358333333336</c:v>
                </c:pt>
                <c:pt idx="8">
                  <c:v>271.71195833333337</c:v>
                </c:pt>
                <c:pt idx="9">
                  <c:v>508.49762499999997</c:v>
                </c:pt>
                <c:pt idx="10">
                  <c:v>315.84337500000004</c:v>
                </c:pt>
                <c:pt idx="11">
                  <c:v>296.50670833333334</c:v>
                </c:pt>
                <c:pt idx="12">
                  <c:v>379.82683333333335</c:v>
                </c:pt>
                <c:pt idx="13">
                  <c:v>482.23387500000001</c:v>
                </c:pt>
                <c:pt idx="14">
                  <c:v>450.49229166666663</c:v>
                </c:pt>
                <c:pt idx="15">
                  <c:v>336.81133333333332</c:v>
                </c:pt>
                <c:pt idx="16">
                  <c:v>423.01933333333335</c:v>
                </c:pt>
                <c:pt idx="17">
                  <c:v>356.03366666666665</c:v>
                </c:pt>
                <c:pt idx="18">
                  <c:v>398.75600000000003</c:v>
                </c:pt>
                <c:pt idx="19">
                  <c:v>538.07691666666665</c:v>
                </c:pt>
                <c:pt idx="20">
                  <c:v>818.58079166666676</c:v>
                </c:pt>
                <c:pt idx="21">
                  <c:v>654.19524999999999</c:v>
                </c:pt>
                <c:pt idx="22">
                  <c:v>340.27454166666666</c:v>
                </c:pt>
                <c:pt idx="23">
                  <c:v>255.18362500000001</c:v>
                </c:pt>
                <c:pt idx="24">
                  <c:v>324.61375000000004</c:v>
                </c:pt>
                <c:pt idx="25">
                  <c:v>341.16083333333336</c:v>
                </c:pt>
                <c:pt idx="26">
                  <c:v>388.00049999999999</c:v>
                </c:pt>
                <c:pt idx="27">
                  <c:v>487.29787500000003</c:v>
                </c:pt>
                <c:pt idx="28">
                  <c:v>515.63824999999997</c:v>
                </c:pt>
                <c:pt idx="29">
                  <c:v>396.05508333333336</c:v>
                </c:pt>
                <c:pt idx="30">
                  <c:v>322.70395833333333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177664"/>
        <c:axId val="410177104"/>
      </c:lineChart>
      <c:catAx>
        <c:axId val="4101759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ysClr val="windowText" lastClr="000000"/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r>
                  <a:rPr lang="en-US" altLang="zh-CN" sz="800" b="1"/>
                  <a:t>Occupancy Date</a:t>
                </a:r>
                <a:endParaRPr lang="zh-CN" altLang="en-US" sz="800" b="1"/>
              </a:p>
            </c:rich>
          </c:tx>
          <c:layout>
            <c:manualLayout>
              <c:xMode val="edge"/>
              <c:yMode val="edge"/>
              <c:x val="0.45575675517397307"/>
              <c:y val="0.8944092799909332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ysClr val="windowText" lastClr="000000"/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0" spcFirstLastPara="1" vertOverflow="ellipsis" vert="eaVert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410176544"/>
        <c:crosses val="autoZero"/>
        <c:auto val="1"/>
        <c:lblAlgn val="ctr"/>
        <c:lblOffset val="100"/>
        <c:noMultiLvlLbl val="1"/>
      </c:catAx>
      <c:valAx>
        <c:axId val="41017654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ysClr val="windowText" lastClr="000000"/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r>
                  <a:rPr lang="en-US" altLang="zh-CN" sz="800" b="1"/>
                  <a:t>Rooms</a:t>
                </a:r>
                <a:endParaRPr lang="zh-CN" altLang="en-US" sz="800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ysClr val="windowText" lastClr="000000"/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+mn-cs"/>
                </a:defRPr>
              </a:pPr>
              <a:endParaRPr lang="zh-CN"/>
            </a:p>
          </c:txPr>
        </c:title>
        <c:numFmt formatCode="#,##0_);[Red]\(#,##0\)" sourceLinked="0"/>
        <c:majorTickMark val="in"/>
        <c:minorTickMark val="none"/>
        <c:tickLblPos val="nextTo"/>
        <c:spPr>
          <a:noFill/>
          <a:ln>
            <a:solidFill>
              <a:schemeClr val="bg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410175984"/>
        <c:crosses val="autoZero"/>
        <c:crossBetween val="between"/>
      </c:valAx>
      <c:valAx>
        <c:axId val="410177104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 algn="ctr" rtl="0">
                  <a:defRPr lang="en-US" altLang="zh-CN" sz="800" b="1" i="0" u="none" strike="noStrike" kern="1200" baseline="0">
                    <a:solidFill>
                      <a:sysClr val="windowText" lastClr="000000"/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r>
                  <a:rPr lang="en-US" altLang="zh-CN" sz="800" b="1" i="0" u="none" strike="noStrike" kern="1200" baseline="0">
                    <a:solidFill>
                      <a:sysClr val="windowText" lastClr="000000"/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rPr>
                  <a:t>ADR/RevPAR(CNY)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 algn="ctr" rtl="0">
                <a:defRPr lang="en-US" altLang="zh-CN" sz="800" b="1" i="0" u="none" strike="noStrike" kern="1200" baseline="0">
                  <a:solidFill>
                    <a:sysClr val="windowText" lastClr="000000"/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+mn-cs"/>
                </a:defRPr>
              </a:pPr>
              <a:endParaRPr lang="zh-CN"/>
            </a:p>
          </c:txPr>
        </c:title>
        <c:numFmt formatCode="#,##0_);[Red]\(#,##0\)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410177664"/>
        <c:crosses val="max"/>
        <c:crossBetween val="between"/>
      </c:valAx>
      <c:catAx>
        <c:axId val="4101776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0177104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35447234951950879"/>
          <c:y val="0.95372106060216866"/>
          <c:w val="0.35226115485564302"/>
          <c:h val="4.62789393978312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微软雅黑" panose="020B0503020204020204" pitchFamily="34" charset="-122"/>
          <a:ea typeface="微软雅黑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7245406824147E-2"/>
          <c:y val="0.11158717335861452"/>
          <c:w val="0.84468073069813643"/>
          <c:h val="0.56418717424879716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Business_Type_Report!$A$5</c:f>
              <c:strCache>
                <c:ptCount val="1"/>
                <c:pt idx="0">
                  <c:v>Transient(Sold)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FF"/>
              </a:solidFill>
            </a:ln>
            <a:effectLst/>
          </c:spPr>
          <c:invertIfNegative val="0"/>
          <c:cat>
            <c:strRef>
              <c:f>Business_Type_Report!$B$3:$AF$3</c:f>
              <c:strCache>
                <c:ptCount val="31"/>
                <c:pt idx="0">
                  <c:v>2017-10-01 Sun</c:v>
                </c:pt>
                <c:pt idx="1">
                  <c:v>2017-10-02 Mon</c:v>
                </c:pt>
                <c:pt idx="2">
                  <c:v>2017-10-03 Tue</c:v>
                </c:pt>
                <c:pt idx="3">
                  <c:v>2017-10-04 Wed</c:v>
                </c:pt>
                <c:pt idx="4">
                  <c:v>2017-10-05 Thu</c:v>
                </c:pt>
                <c:pt idx="5">
                  <c:v>2017-10-06 Fri</c:v>
                </c:pt>
                <c:pt idx="6">
                  <c:v>2017-10-07 Sat</c:v>
                </c:pt>
                <c:pt idx="7">
                  <c:v>2017-10-08 Sun</c:v>
                </c:pt>
                <c:pt idx="8">
                  <c:v>2017-10-09 Mon</c:v>
                </c:pt>
                <c:pt idx="9">
                  <c:v>2017-10-10 Tue</c:v>
                </c:pt>
                <c:pt idx="10">
                  <c:v>2017-10-11 Wed</c:v>
                </c:pt>
                <c:pt idx="11">
                  <c:v>2017-10-12 Thu</c:v>
                </c:pt>
                <c:pt idx="12">
                  <c:v>2017-10-13 Fri</c:v>
                </c:pt>
                <c:pt idx="13">
                  <c:v>2017-10-14 Sat</c:v>
                </c:pt>
                <c:pt idx="14">
                  <c:v>2017-10-15 Sun</c:v>
                </c:pt>
                <c:pt idx="15">
                  <c:v>2017-10-16 Mon</c:v>
                </c:pt>
                <c:pt idx="16">
                  <c:v>2017-10-17 Tue</c:v>
                </c:pt>
                <c:pt idx="17">
                  <c:v>2017-10-18 Wed</c:v>
                </c:pt>
                <c:pt idx="18">
                  <c:v>2017-10-19 Thu</c:v>
                </c:pt>
                <c:pt idx="19">
                  <c:v>2017-10-20 Fri</c:v>
                </c:pt>
                <c:pt idx="20">
                  <c:v>2017-10-21 Sat</c:v>
                </c:pt>
                <c:pt idx="21">
                  <c:v>2017-10-22 Sun</c:v>
                </c:pt>
                <c:pt idx="22">
                  <c:v>2017-10-23 Mon</c:v>
                </c:pt>
                <c:pt idx="23">
                  <c:v>2017-10-24 Tue</c:v>
                </c:pt>
                <c:pt idx="24">
                  <c:v>2017-10-25 Wed</c:v>
                </c:pt>
                <c:pt idx="25">
                  <c:v>2017-10-26 Thu</c:v>
                </c:pt>
                <c:pt idx="26">
                  <c:v>2017-10-27 Fri</c:v>
                </c:pt>
                <c:pt idx="27">
                  <c:v>2017-10-28 Sat</c:v>
                </c:pt>
                <c:pt idx="28">
                  <c:v>2017-10-29 Sun</c:v>
                </c:pt>
                <c:pt idx="29">
                  <c:v>2017-10-30 Mon</c:v>
                </c:pt>
                <c:pt idx="30">
                  <c:v>2017-10-31 Tue</c:v>
                </c:pt>
              </c:strCache>
            </c:strRef>
          </c:cat>
          <c:val>
            <c:numRef>
              <c:f>Business_Type_Report!$B$5:$AF$5</c:f>
              <c:numCache>
                <c:formatCode>0_);[Red]\(0\)</c:formatCode>
                <c:ptCount val="31"/>
                <c:pt idx="0">
                  <c:v>161</c:v>
                </c:pt>
                <c:pt idx="1">
                  <c:v>225</c:v>
                </c:pt>
                <c:pt idx="2">
                  <c:v>240</c:v>
                </c:pt>
                <c:pt idx="3">
                  <c:v>237</c:v>
                </c:pt>
                <c:pt idx="4">
                  <c:v>220</c:v>
                </c:pt>
                <c:pt idx="5">
                  <c:v>191</c:v>
                </c:pt>
                <c:pt idx="6">
                  <c:v>137</c:v>
                </c:pt>
                <c:pt idx="7">
                  <c:v>58</c:v>
                </c:pt>
                <c:pt idx="8">
                  <c:v>38</c:v>
                </c:pt>
                <c:pt idx="9">
                  <c:v>45</c:v>
                </c:pt>
                <c:pt idx="10">
                  <c:v>60</c:v>
                </c:pt>
                <c:pt idx="11">
                  <c:v>43</c:v>
                </c:pt>
                <c:pt idx="12">
                  <c:v>48</c:v>
                </c:pt>
                <c:pt idx="13">
                  <c:v>32</c:v>
                </c:pt>
                <c:pt idx="14">
                  <c:v>15</c:v>
                </c:pt>
                <c:pt idx="15">
                  <c:v>17</c:v>
                </c:pt>
                <c:pt idx="16">
                  <c:v>27</c:v>
                </c:pt>
                <c:pt idx="17">
                  <c:v>23</c:v>
                </c:pt>
                <c:pt idx="18">
                  <c:v>20</c:v>
                </c:pt>
                <c:pt idx="19">
                  <c:v>12</c:v>
                </c:pt>
                <c:pt idx="20">
                  <c:v>12</c:v>
                </c:pt>
                <c:pt idx="21">
                  <c:v>9</c:v>
                </c:pt>
                <c:pt idx="22">
                  <c:v>5</c:v>
                </c:pt>
                <c:pt idx="23">
                  <c:v>8</c:v>
                </c:pt>
                <c:pt idx="24">
                  <c:v>18</c:v>
                </c:pt>
                <c:pt idx="25">
                  <c:v>18</c:v>
                </c:pt>
                <c:pt idx="26">
                  <c:v>13</c:v>
                </c:pt>
                <c:pt idx="27">
                  <c:v>9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</c:numCache>
            </c:numRef>
          </c:val>
        </c:ser>
        <c:ser>
          <c:idx val="0"/>
          <c:order val="1"/>
          <c:tx>
            <c:strRef>
              <c:f>Business_Type_Report!$A$6</c:f>
              <c:strCache>
                <c:ptCount val="1"/>
                <c:pt idx="0">
                  <c:v>Group(Sold)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FF0000"/>
              </a:solidFill>
            </a:ln>
            <a:effectLst/>
          </c:spPr>
          <c:invertIfNegative val="0"/>
          <c:cat>
            <c:strRef>
              <c:f>Business_Type_Report!$B$3:$AF$3</c:f>
              <c:strCache>
                <c:ptCount val="31"/>
                <c:pt idx="0">
                  <c:v>2017-10-01 Sun</c:v>
                </c:pt>
                <c:pt idx="1">
                  <c:v>2017-10-02 Mon</c:v>
                </c:pt>
                <c:pt idx="2">
                  <c:v>2017-10-03 Tue</c:v>
                </c:pt>
                <c:pt idx="3">
                  <c:v>2017-10-04 Wed</c:v>
                </c:pt>
                <c:pt idx="4">
                  <c:v>2017-10-05 Thu</c:v>
                </c:pt>
                <c:pt idx="5">
                  <c:v>2017-10-06 Fri</c:v>
                </c:pt>
                <c:pt idx="6">
                  <c:v>2017-10-07 Sat</c:v>
                </c:pt>
                <c:pt idx="7">
                  <c:v>2017-10-08 Sun</c:v>
                </c:pt>
                <c:pt idx="8">
                  <c:v>2017-10-09 Mon</c:v>
                </c:pt>
                <c:pt idx="9">
                  <c:v>2017-10-10 Tue</c:v>
                </c:pt>
                <c:pt idx="10">
                  <c:v>2017-10-11 Wed</c:v>
                </c:pt>
                <c:pt idx="11">
                  <c:v>2017-10-12 Thu</c:v>
                </c:pt>
                <c:pt idx="12">
                  <c:v>2017-10-13 Fri</c:v>
                </c:pt>
                <c:pt idx="13">
                  <c:v>2017-10-14 Sat</c:v>
                </c:pt>
                <c:pt idx="14">
                  <c:v>2017-10-15 Sun</c:v>
                </c:pt>
                <c:pt idx="15">
                  <c:v>2017-10-16 Mon</c:v>
                </c:pt>
                <c:pt idx="16">
                  <c:v>2017-10-17 Tue</c:v>
                </c:pt>
                <c:pt idx="17">
                  <c:v>2017-10-18 Wed</c:v>
                </c:pt>
                <c:pt idx="18">
                  <c:v>2017-10-19 Thu</c:v>
                </c:pt>
                <c:pt idx="19">
                  <c:v>2017-10-20 Fri</c:v>
                </c:pt>
                <c:pt idx="20">
                  <c:v>2017-10-21 Sat</c:v>
                </c:pt>
                <c:pt idx="21">
                  <c:v>2017-10-22 Sun</c:v>
                </c:pt>
                <c:pt idx="22">
                  <c:v>2017-10-23 Mon</c:v>
                </c:pt>
                <c:pt idx="23">
                  <c:v>2017-10-24 Tue</c:v>
                </c:pt>
                <c:pt idx="24">
                  <c:v>2017-10-25 Wed</c:v>
                </c:pt>
                <c:pt idx="25">
                  <c:v>2017-10-26 Thu</c:v>
                </c:pt>
                <c:pt idx="26">
                  <c:v>2017-10-27 Fri</c:v>
                </c:pt>
                <c:pt idx="27">
                  <c:v>2017-10-28 Sat</c:v>
                </c:pt>
                <c:pt idx="28">
                  <c:v>2017-10-29 Sun</c:v>
                </c:pt>
                <c:pt idx="29">
                  <c:v>2017-10-30 Mon</c:v>
                </c:pt>
                <c:pt idx="30">
                  <c:v>2017-10-31 Tue</c:v>
                </c:pt>
              </c:strCache>
            </c:strRef>
          </c:cat>
          <c:val>
            <c:numRef>
              <c:f>Business_Type_Report!$B$6:$AF$6</c:f>
              <c:numCache>
                <c:formatCode>0_);[Red]\(0\)</c:formatCode>
                <c:ptCount val="31"/>
                <c:pt idx="0">
                  <c:v>12</c:v>
                </c:pt>
                <c:pt idx="1">
                  <c:v>3</c:v>
                </c:pt>
                <c:pt idx="2">
                  <c:v>0</c:v>
                </c:pt>
                <c:pt idx="3">
                  <c:v>1</c:v>
                </c:pt>
                <c:pt idx="4">
                  <c:v>8</c:v>
                </c:pt>
                <c:pt idx="5">
                  <c:v>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27</c:v>
                </c:pt>
                <c:pt idx="11">
                  <c:v>28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19</c:v>
                </c:pt>
                <c:pt idx="17">
                  <c:v>19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100"/>
        <c:axId val="410206336"/>
        <c:axId val="410206896"/>
      </c:barChart>
      <c:catAx>
        <c:axId val="4102063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0206896"/>
        <c:crosses val="autoZero"/>
        <c:auto val="1"/>
        <c:lblAlgn val="ctr"/>
        <c:lblOffset val="100"/>
        <c:noMultiLvlLbl val="1"/>
      </c:catAx>
      <c:valAx>
        <c:axId val="410206896"/>
        <c:scaling>
          <c:orientation val="minMax"/>
          <c:max val="500"/>
        </c:scaling>
        <c:delete val="0"/>
        <c:axPos val="l"/>
        <c:numFmt formatCode="#,##0_);[Red]\(#,##0\)" sourceLinked="0"/>
        <c:majorTickMark val="in"/>
        <c:minorTickMark val="none"/>
        <c:tickLblPos val="nextTo"/>
        <c:spPr>
          <a:noFill/>
          <a:ln>
            <a:solidFill>
              <a:schemeClr val="bg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410206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340544864105515"/>
          <c:y val="0.94409974747474745"/>
          <c:w val="0.26623800505050504"/>
          <c:h val="4.6279040404040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微软雅黑" panose="020B0503020204020204" pitchFamily="34" charset="-122"/>
          <a:ea typeface="微软雅黑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7245406824147E-2"/>
          <c:y val="0.11158717335861452"/>
          <c:w val="0.84468073069813643"/>
          <c:h val="0.56418717424879716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Business_Type_Report!$A$14</c:f>
              <c:strCache>
                <c:ptCount val="1"/>
                <c:pt idx="0">
                  <c:v>Transient(fcst)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rgbClr val="92D050"/>
              </a:solidFill>
            </a:ln>
            <a:effectLst/>
          </c:spPr>
          <c:invertIfNegative val="0"/>
          <c:cat>
            <c:strRef>
              <c:f>Business_Type_Report!$B$10:$AF$10</c:f>
              <c:strCache>
                <c:ptCount val="31"/>
                <c:pt idx="0">
                  <c:v>2016-10-01 Sat</c:v>
                </c:pt>
                <c:pt idx="1">
                  <c:v>2016-10-02 Sun</c:v>
                </c:pt>
                <c:pt idx="2">
                  <c:v>2016-10-03 Mon</c:v>
                </c:pt>
                <c:pt idx="3">
                  <c:v>2016-10-04 Tue</c:v>
                </c:pt>
                <c:pt idx="4">
                  <c:v>2016-10-05 Wed</c:v>
                </c:pt>
                <c:pt idx="5">
                  <c:v>2016-10-06 Thu</c:v>
                </c:pt>
                <c:pt idx="6">
                  <c:v>2016-10-07 Fri</c:v>
                </c:pt>
                <c:pt idx="7">
                  <c:v>2016-10-08 Sat</c:v>
                </c:pt>
                <c:pt idx="8">
                  <c:v>2016-10-09 Sun</c:v>
                </c:pt>
                <c:pt idx="9">
                  <c:v>2016-10-10 Mon</c:v>
                </c:pt>
                <c:pt idx="10">
                  <c:v>2016-10-11 Tue</c:v>
                </c:pt>
                <c:pt idx="11">
                  <c:v>2016-10-12 Wed</c:v>
                </c:pt>
                <c:pt idx="12">
                  <c:v>2016-10-13 Thu</c:v>
                </c:pt>
                <c:pt idx="13">
                  <c:v>2016-10-14 Fri</c:v>
                </c:pt>
                <c:pt idx="14">
                  <c:v>2016-10-15 Sat</c:v>
                </c:pt>
                <c:pt idx="15">
                  <c:v>2016-10-16 Sun</c:v>
                </c:pt>
                <c:pt idx="16">
                  <c:v>2016-10-17 Mon</c:v>
                </c:pt>
                <c:pt idx="17">
                  <c:v>2016-10-18 Tue</c:v>
                </c:pt>
                <c:pt idx="18">
                  <c:v>2016-10-19 Wed</c:v>
                </c:pt>
                <c:pt idx="19">
                  <c:v>2016-10-20 Thu</c:v>
                </c:pt>
                <c:pt idx="20">
                  <c:v>2016-10-21 Fri</c:v>
                </c:pt>
                <c:pt idx="21">
                  <c:v>2016-10-22 Sat</c:v>
                </c:pt>
                <c:pt idx="22">
                  <c:v>2016-10-23 Sun</c:v>
                </c:pt>
                <c:pt idx="23">
                  <c:v>2016-10-24 Mon</c:v>
                </c:pt>
                <c:pt idx="24">
                  <c:v>2016-10-25 Tue</c:v>
                </c:pt>
                <c:pt idx="25">
                  <c:v>2016-10-26 Wed</c:v>
                </c:pt>
                <c:pt idx="26">
                  <c:v>2016-10-27 Thu</c:v>
                </c:pt>
                <c:pt idx="27">
                  <c:v>2016-10-28 Fri</c:v>
                </c:pt>
                <c:pt idx="28">
                  <c:v>2016-10-29 Sat</c:v>
                </c:pt>
                <c:pt idx="29">
                  <c:v>2016-10-30 Sun</c:v>
                </c:pt>
                <c:pt idx="30">
                  <c:v>2016-10-31 Mon</c:v>
                </c:pt>
              </c:strCache>
            </c:strRef>
          </c:cat>
          <c:val>
            <c:numRef>
              <c:f>Business_Type_Report!$B$14:$AF$14</c:f>
              <c:numCache>
                <c:formatCode>0_);[Red]\(0\)</c:formatCode>
                <c:ptCount val="31"/>
                <c:pt idx="0">
                  <c:v>148</c:v>
                </c:pt>
                <c:pt idx="1">
                  <c:v>180</c:v>
                </c:pt>
                <c:pt idx="2">
                  <c:v>235</c:v>
                </c:pt>
                <c:pt idx="3">
                  <c:v>227</c:v>
                </c:pt>
                <c:pt idx="4">
                  <c:v>197</c:v>
                </c:pt>
                <c:pt idx="5">
                  <c:v>102</c:v>
                </c:pt>
                <c:pt idx="6">
                  <c:v>75</c:v>
                </c:pt>
                <c:pt idx="7">
                  <c:v>51</c:v>
                </c:pt>
                <c:pt idx="8">
                  <c:v>63</c:v>
                </c:pt>
                <c:pt idx="9">
                  <c:v>73</c:v>
                </c:pt>
                <c:pt idx="10">
                  <c:v>67</c:v>
                </c:pt>
                <c:pt idx="11">
                  <c:v>64</c:v>
                </c:pt>
                <c:pt idx="12">
                  <c:v>78</c:v>
                </c:pt>
                <c:pt idx="13">
                  <c:v>86</c:v>
                </c:pt>
                <c:pt idx="14">
                  <c:v>88</c:v>
                </c:pt>
                <c:pt idx="15">
                  <c:v>72</c:v>
                </c:pt>
                <c:pt idx="16">
                  <c:v>68</c:v>
                </c:pt>
                <c:pt idx="17">
                  <c:v>69</c:v>
                </c:pt>
                <c:pt idx="18">
                  <c:v>80</c:v>
                </c:pt>
                <c:pt idx="19">
                  <c:v>92</c:v>
                </c:pt>
                <c:pt idx="20">
                  <c:v>108</c:v>
                </c:pt>
                <c:pt idx="21">
                  <c:v>99</c:v>
                </c:pt>
                <c:pt idx="22">
                  <c:v>77</c:v>
                </c:pt>
                <c:pt idx="23">
                  <c:v>47</c:v>
                </c:pt>
                <c:pt idx="24">
                  <c:v>63</c:v>
                </c:pt>
                <c:pt idx="25">
                  <c:v>73</c:v>
                </c:pt>
                <c:pt idx="26">
                  <c:v>81</c:v>
                </c:pt>
                <c:pt idx="27">
                  <c:v>94</c:v>
                </c:pt>
                <c:pt idx="28">
                  <c:v>102</c:v>
                </c:pt>
                <c:pt idx="29">
                  <c:v>66</c:v>
                </c:pt>
                <c:pt idx="30">
                  <c:v>57</c:v>
                </c:pt>
              </c:numCache>
            </c:numRef>
          </c:val>
        </c:ser>
        <c:ser>
          <c:idx val="0"/>
          <c:order val="1"/>
          <c:tx>
            <c:strRef>
              <c:f>Business_Type_Report!$A$15</c:f>
              <c:strCache>
                <c:ptCount val="1"/>
                <c:pt idx="0">
                  <c:v>Group(fcst)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rgbClr val="FFFF00"/>
              </a:solidFill>
            </a:ln>
            <a:effectLst/>
          </c:spPr>
          <c:invertIfNegative val="0"/>
          <c:cat>
            <c:strRef>
              <c:f>Business_Type_Report!$B$10:$AF$10</c:f>
              <c:strCache>
                <c:ptCount val="31"/>
                <c:pt idx="0">
                  <c:v>2016-10-01 Sat</c:v>
                </c:pt>
                <c:pt idx="1">
                  <c:v>2016-10-02 Sun</c:v>
                </c:pt>
                <c:pt idx="2">
                  <c:v>2016-10-03 Mon</c:v>
                </c:pt>
                <c:pt idx="3">
                  <c:v>2016-10-04 Tue</c:v>
                </c:pt>
                <c:pt idx="4">
                  <c:v>2016-10-05 Wed</c:v>
                </c:pt>
                <c:pt idx="5">
                  <c:v>2016-10-06 Thu</c:v>
                </c:pt>
                <c:pt idx="6">
                  <c:v>2016-10-07 Fri</c:v>
                </c:pt>
                <c:pt idx="7">
                  <c:v>2016-10-08 Sat</c:v>
                </c:pt>
                <c:pt idx="8">
                  <c:v>2016-10-09 Sun</c:v>
                </c:pt>
                <c:pt idx="9">
                  <c:v>2016-10-10 Mon</c:v>
                </c:pt>
                <c:pt idx="10">
                  <c:v>2016-10-11 Tue</c:v>
                </c:pt>
                <c:pt idx="11">
                  <c:v>2016-10-12 Wed</c:v>
                </c:pt>
                <c:pt idx="12">
                  <c:v>2016-10-13 Thu</c:v>
                </c:pt>
                <c:pt idx="13">
                  <c:v>2016-10-14 Fri</c:v>
                </c:pt>
                <c:pt idx="14">
                  <c:v>2016-10-15 Sat</c:v>
                </c:pt>
                <c:pt idx="15">
                  <c:v>2016-10-16 Sun</c:v>
                </c:pt>
                <c:pt idx="16">
                  <c:v>2016-10-17 Mon</c:v>
                </c:pt>
                <c:pt idx="17">
                  <c:v>2016-10-18 Tue</c:v>
                </c:pt>
                <c:pt idx="18">
                  <c:v>2016-10-19 Wed</c:v>
                </c:pt>
                <c:pt idx="19">
                  <c:v>2016-10-20 Thu</c:v>
                </c:pt>
                <c:pt idx="20">
                  <c:v>2016-10-21 Fri</c:v>
                </c:pt>
                <c:pt idx="21">
                  <c:v>2016-10-22 Sat</c:v>
                </c:pt>
                <c:pt idx="22">
                  <c:v>2016-10-23 Sun</c:v>
                </c:pt>
                <c:pt idx="23">
                  <c:v>2016-10-24 Mon</c:v>
                </c:pt>
                <c:pt idx="24">
                  <c:v>2016-10-25 Tue</c:v>
                </c:pt>
                <c:pt idx="25">
                  <c:v>2016-10-26 Wed</c:v>
                </c:pt>
                <c:pt idx="26">
                  <c:v>2016-10-27 Thu</c:v>
                </c:pt>
                <c:pt idx="27">
                  <c:v>2016-10-28 Fri</c:v>
                </c:pt>
                <c:pt idx="28">
                  <c:v>2016-10-29 Sat</c:v>
                </c:pt>
                <c:pt idx="29">
                  <c:v>2016-10-30 Sun</c:v>
                </c:pt>
                <c:pt idx="30">
                  <c:v>2016-10-31 Mon</c:v>
                </c:pt>
              </c:strCache>
            </c:strRef>
          </c:cat>
          <c:val>
            <c:numRef>
              <c:f>Business_Type_Report!$B$15:$AF$15</c:f>
              <c:numCache>
                <c:formatCode>0_);[Red]\(0\)</c:formatCode>
                <c:ptCount val="31"/>
                <c:pt idx="0">
                  <c:v>16</c:v>
                </c:pt>
                <c:pt idx="1">
                  <c:v>13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2</c:v>
                </c:pt>
                <c:pt idx="6">
                  <c:v>2</c:v>
                </c:pt>
                <c:pt idx="7">
                  <c:v>3</c:v>
                </c:pt>
                <c:pt idx="8">
                  <c:v>3</c:v>
                </c:pt>
                <c:pt idx="9">
                  <c:v>25</c:v>
                </c:pt>
                <c:pt idx="10">
                  <c:v>9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3</c:v>
                </c:pt>
                <c:pt idx="15">
                  <c:v>5</c:v>
                </c:pt>
                <c:pt idx="16">
                  <c:v>10</c:v>
                </c:pt>
                <c:pt idx="17">
                  <c:v>2</c:v>
                </c:pt>
                <c:pt idx="18">
                  <c:v>9</c:v>
                </c:pt>
                <c:pt idx="19">
                  <c:v>15</c:v>
                </c:pt>
                <c:pt idx="20">
                  <c:v>43</c:v>
                </c:pt>
                <c:pt idx="21">
                  <c:v>25</c:v>
                </c:pt>
                <c:pt idx="22">
                  <c:v>4</c:v>
                </c:pt>
                <c:pt idx="23">
                  <c:v>2</c:v>
                </c:pt>
                <c:pt idx="24">
                  <c:v>8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5</c:v>
                </c:pt>
                <c:pt idx="29">
                  <c:v>4</c:v>
                </c:pt>
                <c:pt idx="3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100"/>
        <c:axId val="409766240"/>
        <c:axId val="409766800"/>
      </c:barChart>
      <c:lineChart>
        <c:grouping val="standard"/>
        <c:varyColors val="0"/>
        <c:ser>
          <c:idx val="1"/>
          <c:order val="2"/>
          <c:tx>
            <c:strRef>
              <c:f>Business_Type_Report!$A$11</c:f>
              <c:strCache>
                <c:ptCount val="1"/>
                <c:pt idx="0">
                  <c:v>Hotel Capacity</c:v>
                </c:pt>
              </c:strCache>
            </c:strRef>
          </c:tx>
          <c:spPr>
            <a:ln w="3175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3175">
                <a:solidFill>
                  <a:srgbClr val="0070C0"/>
                </a:solidFill>
              </a:ln>
              <a:effectLst/>
            </c:spPr>
          </c:marker>
          <c:cat>
            <c:strRef>
              <c:f>Business_Type_Report!$B$3:$AF$3</c:f>
              <c:strCache>
                <c:ptCount val="31"/>
                <c:pt idx="0">
                  <c:v>2017-10-01 Sun</c:v>
                </c:pt>
                <c:pt idx="1">
                  <c:v>2017-10-02 Mon</c:v>
                </c:pt>
                <c:pt idx="2">
                  <c:v>2017-10-03 Tue</c:v>
                </c:pt>
                <c:pt idx="3">
                  <c:v>2017-10-04 Wed</c:v>
                </c:pt>
                <c:pt idx="4">
                  <c:v>2017-10-05 Thu</c:v>
                </c:pt>
                <c:pt idx="5">
                  <c:v>2017-10-06 Fri</c:v>
                </c:pt>
                <c:pt idx="6">
                  <c:v>2017-10-07 Sat</c:v>
                </c:pt>
                <c:pt idx="7">
                  <c:v>2017-10-08 Sun</c:v>
                </c:pt>
                <c:pt idx="8">
                  <c:v>2017-10-09 Mon</c:v>
                </c:pt>
                <c:pt idx="9">
                  <c:v>2017-10-10 Tue</c:v>
                </c:pt>
                <c:pt idx="10">
                  <c:v>2017-10-11 Wed</c:v>
                </c:pt>
                <c:pt idx="11">
                  <c:v>2017-10-12 Thu</c:v>
                </c:pt>
                <c:pt idx="12">
                  <c:v>2017-10-13 Fri</c:v>
                </c:pt>
                <c:pt idx="13">
                  <c:v>2017-10-14 Sat</c:v>
                </c:pt>
                <c:pt idx="14">
                  <c:v>2017-10-15 Sun</c:v>
                </c:pt>
                <c:pt idx="15">
                  <c:v>2017-10-16 Mon</c:v>
                </c:pt>
                <c:pt idx="16">
                  <c:v>2017-10-17 Tue</c:v>
                </c:pt>
                <c:pt idx="17">
                  <c:v>2017-10-18 Wed</c:v>
                </c:pt>
                <c:pt idx="18">
                  <c:v>2017-10-19 Thu</c:v>
                </c:pt>
                <c:pt idx="19">
                  <c:v>2017-10-20 Fri</c:v>
                </c:pt>
                <c:pt idx="20">
                  <c:v>2017-10-21 Sat</c:v>
                </c:pt>
                <c:pt idx="21">
                  <c:v>2017-10-22 Sun</c:v>
                </c:pt>
                <c:pt idx="22">
                  <c:v>2017-10-23 Mon</c:v>
                </c:pt>
                <c:pt idx="23">
                  <c:v>2017-10-24 Tue</c:v>
                </c:pt>
                <c:pt idx="24">
                  <c:v>2017-10-25 Wed</c:v>
                </c:pt>
                <c:pt idx="25">
                  <c:v>2017-10-26 Thu</c:v>
                </c:pt>
                <c:pt idx="26">
                  <c:v>2017-10-27 Fri</c:v>
                </c:pt>
                <c:pt idx="27">
                  <c:v>2017-10-28 Sat</c:v>
                </c:pt>
                <c:pt idx="28">
                  <c:v>2017-10-29 Sun</c:v>
                </c:pt>
                <c:pt idx="29">
                  <c:v>2017-10-30 Mon</c:v>
                </c:pt>
                <c:pt idx="30">
                  <c:v>2017-10-31 Tue</c:v>
                </c:pt>
              </c:strCache>
            </c:strRef>
          </c:cat>
          <c:val>
            <c:numRef>
              <c:f>Business_Type_Report!$B$11:$AF$11</c:f>
              <c:numCache>
                <c:formatCode>0_);[Red]\(0\)</c:formatCode>
                <c:ptCount val="31"/>
                <c:pt idx="0">
                  <c:v>240</c:v>
                </c:pt>
                <c:pt idx="1">
                  <c:v>240</c:v>
                </c:pt>
                <c:pt idx="2">
                  <c:v>240</c:v>
                </c:pt>
                <c:pt idx="3">
                  <c:v>240</c:v>
                </c:pt>
                <c:pt idx="4">
                  <c:v>240</c:v>
                </c:pt>
                <c:pt idx="5">
                  <c:v>240</c:v>
                </c:pt>
                <c:pt idx="6">
                  <c:v>240</c:v>
                </c:pt>
                <c:pt idx="7">
                  <c:v>240</c:v>
                </c:pt>
                <c:pt idx="8">
                  <c:v>240</c:v>
                </c:pt>
                <c:pt idx="9">
                  <c:v>240</c:v>
                </c:pt>
                <c:pt idx="10">
                  <c:v>240</c:v>
                </c:pt>
                <c:pt idx="11">
                  <c:v>240</c:v>
                </c:pt>
                <c:pt idx="12">
                  <c:v>240</c:v>
                </c:pt>
                <c:pt idx="13">
                  <c:v>240</c:v>
                </c:pt>
                <c:pt idx="14">
                  <c:v>240</c:v>
                </c:pt>
                <c:pt idx="15">
                  <c:v>240</c:v>
                </c:pt>
                <c:pt idx="16">
                  <c:v>240</c:v>
                </c:pt>
                <c:pt idx="17">
                  <c:v>240</c:v>
                </c:pt>
                <c:pt idx="18">
                  <c:v>240</c:v>
                </c:pt>
                <c:pt idx="19">
                  <c:v>240</c:v>
                </c:pt>
                <c:pt idx="20">
                  <c:v>240</c:v>
                </c:pt>
                <c:pt idx="21">
                  <c:v>240</c:v>
                </c:pt>
                <c:pt idx="22">
                  <c:v>240</c:v>
                </c:pt>
                <c:pt idx="23">
                  <c:v>240</c:v>
                </c:pt>
                <c:pt idx="24">
                  <c:v>240</c:v>
                </c:pt>
                <c:pt idx="25">
                  <c:v>240</c:v>
                </c:pt>
                <c:pt idx="26">
                  <c:v>240</c:v>
                </c:pt>
                <c:pt idx="27">
                  <c:v>240</c:v>
                </c:pt>
                <c:pt idx="28">
                  <c:v>240</c:v>
                </c:pt>
                <c:pt idx="29">
                  <c:v>240</c:v>
                </c:pt>
                <c:pt idx="30">
                  <c:v>240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766240"/>
        <c:axId val="409766800"/>
      </c:lineChart>
      <c:catAx>
        <c:axId val="4097662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ysClr val="windowText" lastClr="000000"/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r>
                  <a:rPr lang="en-US" altLang="zh-CN" sz="800" b="1"/>
                  <a:t>Occupancy Date</a:t>
                </a:r>
                <a:endParaRPr lang="zh-CN" altLang="en-US" sz="800" b="1"/>
              </a:p>
            </c:rich>
          </c:tx>
          <c:layout>
            <c:manualLayout>
              <c:xMode val="edge"/>
              <c:yMode val="edge"/>
              <c:x val="0.42706481942921692"/>
              <c:y val="0.8944092799909332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ysClr val="windowText" lastClr="000000"/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0" spcFirstLastPara="1" vertOverflow="ellipsis" vert="eaVert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409766800"/>
        <c:crosses val="autoZero"/>
        <c:auto val="1"/>
        <c:lblAlgn val="ctr"/>
        <c:lblOffset val="100"/>
        <c:noMultiLvlLbl val="1"/>
      </c:catAx>
      <c:valAx>
        <c:axId val="409766800"/>
        <c:scaling>
          <c:orientation val="minMax"/>
          <c:max val="500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ysClr val="windowText" lastClr="000000"/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r>
                  <a:rPr lang="en-US" altLang="zh-CN" sz="800" b="1"/>
                  <a:t>Rooms</a:t>
                </a:r>
                <a:endParaRPr lang="zh-CN" altLang="en-US" sz="800" b="1"/>
              </a:p>
            </c:rich>
          </c:tx>
          <c:layout>
            <c:manualLayout>
              <c:xMode val="edge"/>
              <c:yMode val="edge"/>
              <c:x val="1.7302900428585666E-4"/>
              <c:y val="0.360202076960943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ysClr val="windowText" lastClr="000000"/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+mn-cs"/>
                </a:defRPr>
              </a:pPr>
              <a:endParaRPr lang="zh-CN"/>
            </a:p>
          </c:txPr>
        </c:title>
        <c:numFmt formatCode="#,##0_);[Red]\(#,##0\)" sourceLinked="0"/>
        <c:majorTickMark val="out"/>
        <c:minorTickMark val="none"/>
        <c:tickLblPos val="nextTo"/>
        <c:crossAx val="409766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9842825343034655"/>
          <c:y val="0.94363204155934399"/>
          <c:w val="0.5038523622047244"/>
          <c:h val="4.62789393978312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微软雅黑" panose="020B0503020204020204" pitchFamily="34" charset="-122"/>
          <a:ea typeface="微软雅黑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7245406824147E-2"/>
          <c:y val="0.11158717335861452"/>
          <c:w val="0.84468073069813643"/>
          <c:h val="0.56418717424879716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Business_Type_Report!$A$7</c:f>
              <c:strCache>
                <c:ptCount val="1"/>
                <c:pt idx="0">
                  <c:v>Transient(fcst)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rgbClr val="92D050"/>
              </a:solidFill>
            </a:ln>
            <a:effectLst/>
          </c:spPr>
          <c:invertIfNegative val="0"/>
          <c:cat>
            <c:strRef>
              <c:f>Business_Type_Report!$B$3:$AF$3</c:f>
              <c:strCache>
                <c:ptCount val="31"/>
                <c:pt idx="0">
                  <c:v>2017-10-01 Sun</c:v>
                </c:pt>
                <c:pt idx="1">
                  <c:v>2017-10-02 Mon</c:v>
                </c:pt>
                <c:pt idx="2">
                  <c:v>2017-10-03 Tue</c:v>
                </c:pt>
                <c:pt idx="3">
                  <c:v>2017-10-04 Wed</c:v>
                </c:pt>
                <c:pt idx="4">
                  <c:v>2017-10-05 Thu</c:v>
                </c:pt>
                <c:pt idx="5">
                  <c:v>2017-10-06 Fri</c:v>
                </c:pt>
                <c:pt idx="6">
                  <c:v>2017-10-07 Sat</c:v>
                </c:pt>
                <c:pt idx="7">
                  <c:v>2017-10-08 Sun</c:v>
                </c:pt>
                <c:pt idx="8">
                  <c:v>2017-10-09 Mon</c:v>
                </c:pt>
                <c:pt idx="9">
                  <c:v>2017-10-10 Tue</c:v>
                </c:pt>
                <c:pt idx="10">
                  <c:v>2017-10-11 Wed</c:v>
                </c:pt>
                <c:pt idx="11">
                  <c:v>2017-10-12 Thu</c:v>
                </c:pt>
                <c:pt idx="12">
                  <c:v>2017-10-13 Fri</c:v>
                </c:pt>
                <c:pt idx="13">
                  <c:v>2017-10-14 Sat</c:v>
                </c:pt>
                <c:pt idx="14">
                  <c:v>2017-10-15 Sun</c:v>
                </c:pt>
                <c:pt idx="15">
                  <c:v>2017-10-16 Mon</c:v>
                </c:pt>
                <c:pt idx="16">
                  <c:v>2017-10-17 Tue</c:v>
                </c:pt>
                <c:pt idx="17">
                  <c:v>2017-10-18 Wed</c:v>
                </c:pt>
                <c:pt idx="18">
                  <c:v>2017-10-19 Thu</c:v>
                </c:pt>
                <c:pt idx="19">
                  <c:v>2017-10-20 Fri</c:v>
                </c:pt>
                <c:pt idx="20">
                  <c:v>2017-10-21 Sat</c:v>
                </c:pt>
                <c:pt idx="21">
                  <c:v>2017-10-22 Sun</c:v>
                </c:pt>
                <c:pt idx="22">
                  <c:v>2017-10-23 Mon</c:v>
                </c:pt>
                <c:pt idx="23">
                  <c:v>2017-10-24 Tue</c:v>
                </c:pt>
                <c:pt idx="24">
                  <c:v>2017-10-25 Wed</c:v>
                </c:pt>
                <c:pt idx="25">
                  <c:v>2017-10-26 Thu</c:v>
                </c:pt>
                <c:pt idx="26">
                  <c:v>2017-10-27 Fri</c:v>
                </c:pt>
                <c:pt idx="27">
                  <c:v>2017-10-28 Sat</c:v>
                </c:pt>
                <c:pt idx="28">
                  <c:v>2017-10-29 Sun</c:v>
                </c:pt>
                <c:pt idx="29">
                  <c:v>2017-10-30 Mon</c:v>
                </c:pt>
                <c:pt idx="30">
                  <c:v>2017-10-31 Tue</c:v>
                </c:pt>
              </c:strCache>
            </c:strRef>
          </c:cat>
          <c:val>
            <c:numRef>
              <c:f>Business_Type_Report!$B$7:$AF$7</c:f>
              <c:numCache>
                <c:formatCode>0_);[Red]\(0\)</c:formatCode>
                <c:ptCount val="31"/>
                <c:pt idx="0">
                  <c:v>189</c:v>
                </c:pt>
                <c:pt idx="1">
                  <c:v>237</c:v>
                </c:pt>
                <c:pt idx="2">
                  <c:v>240</c:v>
                </c:pt>
                <c:pt idx="3">
                  <c:v>239</c:v>
                </c:pt>
                <c:pt idx="4">
                  <c:v>232</c:v>
                </c:pt>
                <c:pt idx="5">
                  <c:v>184</c:v>
                </c:pt>
                <c:pt idx="6">
                  <c:v>138</c:v>
                </c:pt>
                <c:pt idx="7">
                  <c:v>61</c:v>
                </c:pt>
                <c:pt idx="8">
                  <c:v>37</c:v>
                </c:pt>
                <c:pt idx="9">
                  <c:v>51</c:v>
                </c:pt>
                <c:pt idx="10">
                  <c:v>58</c:v>
                </c:pt>
                <c:pt idx="11">
                  <c:v>70</c:v>
                </c:pt>
                <c:pt idx="12">
                  <c:v>111</c:v>
                </c:pt>
                <c:pt idx="13">
                  <c:v>111</c:v>
                </c:pt>
                <c:pt idx="14">
                  <c:v>82</c:v>
                </c:pt>
                <c:pt idx="15">
                  <c:v>79</c:v>
                </c:pt>
                <c:pt idx="16">
                  <c:v>96</c:v>
                </c:pt>
                <c:pt idx="17">
                  <c:v>95</c:v>
                </c:pt>
                <c:pt idx="18">
                  <c:v>93</c:v>
                </c:pt>
                <c:pt idx="19">
                  <c:v>105</c:v>
                </c:pt>
                <c:pt idx="20">
                  <c:v>109</c:v>
                </c:pt>
                <c:pt idx="21">
                  <c:v>86</c:v>
                </c:pt>
                <c:pt idx="22">
                  <c:v>73</c:v>
                </c:pt>
                <c:pt idx="23">
                  <c:v>80</c:v>
                </c:pt>
                <c:pt idx="24">
                  <c:v>93</c:v>
                </c:pt>
                <c:pt idx="25">
                  <c:v>94</c:v>
                </c:pt>
                <c:pt idx="26">
                  <c:v>108</c:v>
                </c:pt>
                <c:pt idx="27">
                  <c:v>108</c:v>
                </c:pt>
                <c:pt idx="28">
                  <c:v>80</c:v>
                </c:pt>
                <c:pt idx="29">
                  <c:v>71</c:v>
                </c:pt>
                <c:pt idx="30">
                  <c:v>76</c:v>
                </c:pt>
              </c:numCache>
            </c:numRef>
          </c:val>
        </c:ser>
        <c:ser>
          <c:idx val="0"/>
          <c:order val="1"/>
          <c:tx>
            <c:strRef>
              <c:f>Business_Type_Report!$A$8</c:f>
              <c:strCache>
                <c:ptCount val="1"/>
                <c:pt idx="0">
                  <c:v>Group(fcst)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rgbClr val="FFFF00"/>
              </a:solidFill>
            </a:ln>
            <a:effectLst/>
          </c:spPr>
          <c:invertIfNegative val="0"/>
          <c:cat>
            <c:strRef>
              <c:f>Business_Type_Report!$B$3:$AF$3</c:f>
              <c:strCache>
                <c:ptCount val="31"/>
                <c:pt idx="0">
                  <c:v>2017-10-01 Sun</c:v>
                </c:pt>
                <c:pt idx="1">
                  <c:v>2017-10-02 Mon</c:v>
                </c:pt>
                <c:pt idx="2">
                  <c:v>2017-10-03 Tue</c:v>
                </c:pt>
                <c:pt idx="3">
                  <c:v>2017-10-04 Wed</c:v>
                </c:pt>
                <c:pt idx="4">
                  <c:v>2017-10-05 Thu</c:v>
                </c:pt>
                <c:pt idx="5">
                  <c:v>2017-10-06 Fri</c:v>
                </c:pt>
                <c:pt idx="6">
                  <c:v>2017-10-07 Sat</c:v>
                </c:pt>
                <c:pt idx="7">
                  <c:v>2017-10-08 Sun</c:v>
                </c:pt>
                <c:pt idx="8">
                  <c:v>2017-10-09 Mon</c:v>
                </c:pt>
                <c:pt idx="9">
                  <c:v>2017-10-10 Tue</c:v>
                </c:pt>
                <c:pt idx="10">
                  <c:v>2017-10-11 Wed</c:v>
                </c:pt>
                <c:pt idx="11">
                  <c:v>2017-10-12 Thu</c:v>
                </c:pt>
                <c:pt idx="12">
                  <c:v>2017-10-13 Fri</c:v>
                </c:pt>
                <c:pt idx="13">
                  <c:v>2017-10-14 Sat</c:v>
                </c:pt>
                <c:pt idx="14">
                  <c:v>2017-10-15 Sun</c:v>
                </c:pt>
                <c:pt idx="15">
                  <c:v>2017-10-16 Mon</c:v>
                </c:pt>
                <c:pt idx="16">
                  <c:v>2017-10-17 Tue</c:v>
                </c:pt>
                <c:pt idx="17">
                  <c:v>2017-10-18 Wed</c:v>
                </c:pt>
                <c:pt idx="18">
                  <c:v>2017-10-19 Thu</c:v>
                </c:pt>
                <c:pt idx="19">
                  <c:v>2017-10-20 Fri</c:v>
                </c:pt>
                <c:pt idx="20">
                  <c:v>2017-10-21 Sat</c:v>
                </c:pt>
                <c:pt idx="21">
                  <c:v>2017-10-22 Sun</c:v>
                </c:pt>
                <c:pt idx="22">
                  <c:v>2017-10-23 Mon</c:v>
                </c:pt>
                <c:pt idx="23">
                  <c:v>2017-10-24 Tue</c:v>
                </c:pt>
                <c:pt idx="24">
                  <c:v>2017-10-25 Wed</c:v>
                </c:pt>
                <c:pt idx="25">
                  <c:v>2017-10-26 Thu</c:v>
                </c:pt>
                <c:pt idx="26">
                  <c:v>2017-10-27 Fri</c:v>
                </c:pt>
                <c:pt idx="27">
                  <c:v>2017-10-28 Sat</c:v>
                </c:pt>
                <c:pt idx="28">
                  <c:v>2017-10-29 Sun</c:v>
                </c:pt>
                <c:pt idx="29">
                  <c:v>2017-10-30 Mon</c:v>
                </c:pt>
                <c:pt idx="30">
                  <c:v>2017-10-31 Tue</c:v>
                </c:pt>
              </c:strCache>
            </c:strRef>
          </c:cat>
          <c:val>
            <c:numRef>
              <c:f>Business_Type_Report!$B$8:$AF$8</c:f>
              <c:numCache>
                <c:formatCode>0_);[Red]\(0\)</c:formatCode>
                <c:ptCount val="31"/>
                <c:pt idx="0">
                  <c:v>14</c:v>
                </c:pt>
                <c:pt idx="1">
                  <c:v>3</c:v>
                </c:pt>
                <c:pt idx="2">
                  <c:v>0</c:v>
                </c:pt>
                <c:pt idx="3">
                  <c:v>1</c:v>
                </c:pt>
                <c:pt idx="4">
                  <c:v>8</c:v>
                </c:pt>
                <c:pt idx="5">
                  <c:v>10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28</c:v>
                </c:pt>
                <c:pt idx="11">
                  <c:v>28</c:v>
                </c:pt>
                <c:pt idx="12">
                  <c:v>4</c:v>
                </c:pt>
                <c:pt idx="13">
                  <c:v>5</c:v>
                </c:pt>
                <c:pt idx="14">
                  <c:v>4</c:v>
                </c:pt>
                <c:pt idx="15">
                  <c:v>5</c:v>
                </c:pt>
                <c:pt idx="16">
                  <c:v>22</c:v>
                </c:pt>
                <c:pt idx="17">
                  <c:v>21</c:v>
                </c:pt>
                <c:pt idx="18">
                  <c:v>9</c:v>
                </c:pt>
                <c:pt idx="19">
                  <c:v>12</c:v>
                </c:pt>
                <c:pt idx="20">
                  <c:v>11</c:v>
                </c:pt>
                <c:pt idx="21">
                  <c:v>7</c:v>
                </c:pt>
                <c:pt idx="22">
                  <c:v>8</c:v>
                </c:pt>
                <c:pt idx="23">
                  <c:v>9</c:v>
                </c:pt>
                <c:pt idx="24">
                  <c:v>10</c:v>
                </c:pt>
                <c:pt idx="25">
                  <c:v>11</c:v>
                </c:pt>
                <c:pt idx="26">
                  <c:v>14</c:v>
                </c:pt>
                <c:pt idx="27">
                  <c:v>13</c:v>
                </c:pt>
                <c:pt idx="28">
                  <c:v>9</c:v>
                </c:pt>
                <c:pt idx="29">
                  <c:v>10</c:v>
                </c:pt>
                <c:pt idx="30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100"/>
        <c:axId val="409796528"/>
        <c:axId val="410914528"/>
      </c:barChart>
      <c:lineChart>
        <c:grouping val="standard"/>
        <c:varyColors val="0"/>
        <c:ser>
          <c:idx val="1"/>
          <c:order val="2"/>
          <c:tx>
            <c:strRef>
              <c:f>Business_Type_Report!$A$4</c:f>
              <c:strCache>
                <c:ptCount val="1"/>
                <c:pt idx="0">
                  <c:v>Hotel Capacity</c:v>
                </c:pt>
              </c:strCache>
            </c:strRef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cat>
            <c:strRef>
              <c:f>Business_Type_Report!$B$3:$AF$3</c:f>
              <c:strCache>
                <c:ptCount val="31"/>
                <c:pt idx="0">
                  <c:v>2017-10-01 Sun</c:v>
                </c:pt>
                <c:pt idx="1">
                  <c:v>2017-10-02 Mon</c:v>
                </c:pt>
                <c:pt idx="2">
                  <c:v>2017-10-03 Tue</c:v>
                </c:pt>
                <c:pt idx="3">
                  <c:v>2017-10-04 Wed</c:v>
                </c:pt>
                <c:pt idx="4">
                  <c:v>2017-10-05 Thu</c:v>
                </c:pt>
                <c:pt idx="5">
                  <c:v>2017-10-06 Fri</c:v>
                </c:pt>
                <c:pt idx="6">
                  <c:v>2017-10-07 Sat</c:v>
                </c:pt>
                <c:pt idx="7">
                  <c:v>2017-10-08 Sun</c:v>
                </c:pt>
                <c:pt idx="8">
                  <c:v>2017-10-09 Mon</c:v>
                </c:pt>
                <c:pt idx="9">
                  <c:v>2017-10-10 Tue</c:v>
                </c:pt>
                <c:pt idx="10">
                  <c:v>2017-10-11 Wed</c:v>
                </c:pt>
                <c:pt idx="11">
                  <c:v>2017-10-12 Thu</c:v>
                </c:pt>
                <c:pt idx="12">
                  <c:v>2017-10-13 Fri</c:v>
                </c:pt>
                <c:pt idx="13">
                  <c:v>2017-10-14 Sat</c:v>
                </c:pt>
                <c:pt idx="14">
                  <c:v>2017-10-15 Sun</c:v>
                </c:pt>
                <c:pt idx="15">
                  <c:v>2017-10-16 Mon</c:v>
                </c:pt>
                <c:pt idx="16">
                  <c:v>2017-10-17 Tue</c:v>
                </c:pt>
                <c:pt idx="17">
                  <c:v>2017-10-18 Wed</c:v>
                </c:pt>
                <c:pt idx="18">
                  <c:v>2017-10-19 Thu</c:v>
                </c:pt>
                <c:pt idx="19">
                  <c:v>2017-10-20 Fri</c:v>
                </c:pt>
                <c:pt idx="20">
                  <c:v>2017-10-21 Sat</c:v>
                </c:pt>
                <c:pt idx="21">
                  <c:v>2017-10-22 Sun</c:v>
                </c:pt>
                <c:pt idx="22">
                  <c:v>2017-10-23 Mon</c:v>
                </c:pt>
                <c:pt idx="23">
                  <c:v>2017-10-24 Tue</c:v>
                </c:pt>
                <c:pt idx="24">
                  <c:v>2017-10-25 Wed</c:v>
                </c:pt>
                <c:pt idx="25">
                  <c:v>2017-10-26 Thu</c:v>
                </c:pt>
                <c:pt idx="26">
                  <c:v>2017-10-27 Fri</c:v>
                </c:pt>
                <c:pt idx="27">
                  <c:v>2017-10-28 Sat</c:v>
                </c:pt>
                <c:pt idx="28">
                  <c:v>2017-10-29 Sun</c:v>
                </c:pt>
                <c:pt idx="29">
                  <c:v>2017-10-30 Mon</c:v>
                </c:pt>
                <c:pt idx="30">
                  <c:v>2017-10-31 Tue</c:v>
                </c:pt>
              </c:strCache>
            </c:strRef>
          </c:cat>
          <c:val>
            <c:numRef>
              <c:f>Business_Type_Report!$B$4:$AF$4</c:f>
              <c:numCache>
                <c:formatCode>0_);[Red]\(0\)</c:formatCode>
                <c:ptCount val="31"/>
                <c:pt idx="0">
                  <c:v>240</c:v>
                </c:pt>
                <c:pt idx="1">
                  <c:v>240</c:v>
                </c:pt>
                <c:pt idx="2">
                  <c:v>240</c:v>
                </c:pt>
                <c:pt idx="3">
                  <c:v>240</c:v>
                </c:pt>
                <c:pt idx="4">
                  <c:v>240</c:v>
                </c:pt>
                <c:pt idx="5">
                  <c:v>240</c:v>
                </c:pt>
                <c:pt idx="6">
                  <c:v>240</c:v>
                </c:pt>
                <c:pt idx="7">
                  <c:v>240</c:v>
                </c:pt>
                <c:pt idx="8">
                  <c:v>240</c:v>
                </c:pt>
                <c:pt idx="9">
                  <c:v>240</c:v>
                </c:pt>
                <c:pt idx="10">
                  <c:v>240</c:v>
                </c:pt>
                <c:pt idx="11">
                  <c:v>240</c:v>
                </c:pt>
                <c:pt idx="12">
                  <c:v>240</c:v>
                </c:pt>
                <c:pt idx="13">
                  <c:v>240</c:v>
                </c:pt>
                <c:pt idx="14">
                  <c:v>240</c:v>
                </c:pt>
                <c:pt idx="15">
                  <c:v>240</c:v>
                </c:pt>
                <c:pt idx="16">
                  <c:v>240</c:v>
                </c:pt>
                <c:pt idx="17">
                  <c:v>240</c:v>
                </c:pt>
                <c:pt idx="18">
                  <c:v>240</c:v>
                </c:pt>
                <c:pt idx="19">
                  <c:v>240</c:v>
                </c:pt>
                <c:pt idx="20">
                  <c:v>240</c:v>
                </c:pt>
                <c:pt idx="21">
                  <c:v>240</c:v>
                </c:pt>
                <c:pt idx="22">
                  <c:v>240</c:v>
                </c:pt>
                <c:pt idx="23">
                  <c:v>240</c:v>
                </c:pt>
                <c:pt idx="24">
                  <c:v>240</c:v>
                </c:pt>
                <c:pt idx="25">
                  <c:v>240</c:v>
                </c:pt>
                <c:pt idx="26">
                  <c:v>240</c:v>
                </c:pt>
                <c:pt idx="27">
                  <c:v>240</c:v>
                </c:pt>
                <c:pt idx="28">
                  <c:v>240</c:v>
                </c:pt>
                <c:pt idx="29">
                  <c:v>240</c:v>
                </c:pt>
                <c:pt idx="30">
                  <c:v>240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796528"/>
        <c:axId val="410914528"/>
      </c:lineChart>
      <c:catAx>
        <c:axId val="409796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ysClr val="windowText" lastClr="000000"/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r>
                  <a:rPr lang="en-US" altLang="zh-CN" sz="800" b="1"/>
                  <a:t>Occupancy Date</a:t>
                </a:r>
                <a:endParaRPr lang="zh-CN" altLang="en-US" sz="800" b="1"/>
              </a:p>
            </c:rich>
          </c:tx>
          <c:layout>
            <c:manualLayout>
              <c:xMode val="edge"/>
              <c:yMode val="edge"/>
              <c:x val="0.42706481942921692"/>
              <c:y val="0.8944092799909332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ysClr val="windowText" lastClr="000000"/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0" spcFirstLastPara="1" vertOverflow="ellipsis" vert="eaVert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410914528"/>
        <c:crosses val="autoZero"/>
        <c:auto val="1"/>
        <c:lblAlgn val="ctr"/>
        <c:lblOffset val="100"/>
        <c:noMultiLvlLbl val="1"/>
      </c:catAx>
      <c:valAx>
        <c:axId val="410914528"/>
        <c:scaling>
          <c:orientation val="minMax"/>
          <c:max val="500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ysClr val="windowText" lastClr="000000"/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r>
                  <a:rPr lang="en-US" altLang="zh-CN" sz="800" b="1"/>
                  <a:t>Rooms</a:t>
                </a:r>
                <a:endParaRPr lang="zh-CN" altLang="en-US" sz="800" b="1"/>
              </a:p>
            </c:rich>
          </c:tx>
          <c:layout>
            <c:manualLayout>
              <c:xMode val="edge"/>
              <c:yMode val="edge"/>
              <c:x val="1.7302900428585666E-4"/>
              <c:y val="0.360202076960943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ysClr val="windowText" lastClr="000000"/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+mn-cs"/>
                </a:defRPr>
              </a:pPr>
              <a:endParaRPr lang="zh-CN"/>
            </a:p>
          </c:txPr>
        </c:title>
        <c:numFmt formatCode="#,##0_);[Red]\(#,##0\)" sourceLinked="0"/>
        <c:majorTickMark val="out"/>
        <c:minorTickMark val="none"/>
        <c:tickLblPos val="nextTo"/>
        <c:crossAx val="40979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9842825343034655"/>
          <c:y val="0.94363204155934399"/>
          <c:w val="0.5038523622047244"/>
          <c:h val="4.62789393978312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微软雅黑" panose="020B0503020204020204" pitchFamily="34" charset="-122"/>
          <a:ea typeface="微软雅黑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7245406824147E-2"/>
          <c:y val="0.11158717335861452"/>
          <c:w val="0.84468073069813643"/>
          <c:h val="0.56418717424879716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Business_Type_Report!$A$12</c:f>
              <c:strCache>
                <c:ptCount val="1"/>
                <c:pt idx="0">
                  <c:v>Transient(Sold)</c:v>
                </c:pt>
              </c:strCache>
            </c:strRef>
          </c:tx>
          <c:spPr>
            <a:solidFill>
              <a:srgbClr val="0000FF"/>
            </a:solidFill>
            <a:ln>
              <a:solidFill>
                <a:srgbClr val="0000FF"/>
              </a:solidFill>
            </a:ln>
            <a:effectLst/>
          </c:spPr>
          <c:invertIfNegative val="0"/>
          <c:cat>
            <c:strRef>
              <c:f>Business_Type_Report!$B$3:$AF$3</c:f>
              <c:strCache>
                <c:ptCount val="31"/>
                <c:pt idx="0">
                  <c:v>2017-10-01 Sun</c:v>
                </c:pt>
                <c:pt idx="1">
                  <c:v>2017-10-02 Mon</c:v>
                </c:pt>
                <c:pt idx="2">
                  <c:v>2017-10-03 Tue</c:v>
                </c:pt>
                <c:pt idx="3">
                  <c:v>2017-10-04 Wed</c:v>
                </c:pt>
                <c:pt idx="4">
                  <c:v>2017-10-05 Thu</c:v>
                </c:pt>
                <c:pt idx="5">
                  <c:v>2017-10-06 Fri</c:v>
                </c:pt>
                <c:pt idx="6">
                  <c:v>2017-10-07 Sat</c:v>
                </c:pt>
                <c:pt idx="7">
                  <c:v>2017-10-08 Sun</c:v>
                </c:pt>
                <c:pt idx="8">
                  <c:v>2017-10-09 Mon</c:v>
                </c:pt>
                <c:pt idx="9">
                  <c:v>2017-10-10 Tue</c:v>
                </c:pt>
                <c:pt idx="10">
                  <c:v>2017-10-11 Wed</c:v>
                </c:pt>
                <c:pt idx="11">
                  <c:v>2017-10-12 Thu</c:v>
                </c:pt>
                <c:pt idx="12">
                  <c:v>2017-10-13 Fri</c:v>
                </c:pt>
                <c:pt idx="13">
                  <c:v>2017-10-14 Sat</c:v>
                </c:pt>
                <c:pt idx="14">
                  <c:v>2017-10-15 Sun</c:v>
                </c:pt>
                <c:pt idx="15">
                  <c:v>2017-10-16 Mon</c:v>
                </c:pt>
                <c:pt idx="16">
                  <c:v>2017-10-17 Tue</c:v>
                </c:pt>
                <c:pt idx="17">
                  <c:v>2017-10-18 Wed</c:v>
                </c:pt>
                <c:pt idx="18">
                  <c:v>2017-10-19 Thu</c:v>
                </c:pt>
                <c:pt idx="19">
                  <c:v>2017-10-20 Fri</c:v>
                </c:pt>
                <c:pt idx="20">
                  <c:v>2017-10-21 Sat</c:v>
                </c:pt>
                <c:pt idx="21">
                  <c:v>2017-10-22 Sun</c:v>
                </c:pt>
                <c:pt idx="22">
                  <c:v>2017-10-23 Mon</c:v>
                </c:pt>
                <c:pt idx="23">
                  <c:v>2017-10-24 Tue</c:v>
                </c:pt>
                <c:pt idx="24">
                  <c:v>2017-10-25 Wed</c:v>
                </c:pt>
                <c:pt idx="25">
                  <c:v>2017-10-26 Thu</c:v>
                </c:pt>
                <c:pt idx="26">
                  <c:v>2017-10-27 Fri</c:v>
                </c:pt>
                <c:pt idx="27">
                  <c:v>2017-10-28 Sat</c:v>
                </c:pt>
                <c:pt idx="28">
                  <c:v>2017-10-29 Sun</c:v>
                </c:pt>
                <c:pt idx="29">
                  <c:v>2017-10-30 Mon</c:v>
                </c:pt>
                <c:pt idx="30">
                  <c:v>2017-10-31 Tue</c:v>
                </c:pt>
              </c:strCache>
            </c:strRef>
          </c:cat>
          <c:val>
            <c:numRef>
              <c:f>Business_Type_Report!$B$12:$AE$12</c:f>
              <c:numCache>
                <c:formatCode>0_);[Red]\(0\)</c:formatCode>
                <c:ptCount val="30"/>
                <c:pt idx="0">
                  <c:v>155</c:v>
                </c:pt>
                <c:pt idx="1">
                  <c:v>190</c:v>
                </c:pt>
                <c:pt idx="2">
                  <c:v>239</c:v>
                </c:pt>
                <c:pt idx="3">
                  <c:v>237</c:v>
                </c:pt>
                <c:pt idx="4">
                  <c:v>212</c:v>
                </c:pt>
                <c:pt idx="5">
                  <c:v>107</c:v>
                </c:pt>
                <c:pt idx="6">
                  <c:v>69</c:v>
                </c:pt>
                <c:pt idx="7">
                  <c:v>65</c:v>
                </c:pt>
                <c:pt idx="8">
                  <c:v>63</c:v>
                </c:pt>
                <c:pt idx="9">
                  <c:v>96</c:v>
                </c:pt>
                <c:pt idx="10">
                  <c:v>73</c:v>
                </c:pt>
                <c:pt idx="11">
                  <c:v>74</c:v>
                </c:pt>
                <c:pt idx="12">
                  <c:v>91</c:v>
                </c:pt>
                <c:pt idx="13">
                  <c:v>105</c:v>
                </c:pt>
                <c:pt idx="14">
                  <c:v>96</c:v>
                </c:pt>
                <c:pt idx="15">
                  <c:v>69</c:v>
                </c:pt>
                <c:pt idx="16">
                  <c:v>89</c:v>
                </c:pt>
                <c:pt idx="17">
                  <c:v>87</c:v>
                </c:pt>
                <c:pt idx="18">
                  <c:v>86</c:v>
                </c:pt>
                <c:pt idx="19">
                  <c:v>110</c:v>
                </c:pt>
                <c:pt idx="20">
                  <c:v>133</c:v>
                </c:pt>
                <c:pt idx="21">
                  <c:v>122</c:v>
                </c:pt>
                <c:pt idx="22">
                  <c:v>79</c:v>
                </c:pt>
                <c:pt idx="23">
                  <c:v>61</c:v>
                </c:pt>
                <c:pt idx="24">
                  <c:v>76</c:v>
                </c:pt>
                <c:pt idx="25">
                  <c:v>86</c:v>
                </c:pt>
                <c:pt idx="26">
                  <c:v>86</c:v>
                </c:pt>
                <c:pt idx="27">
                  <c:v>122</c:v>
                </c:pt>
                <c:pt idx="28">
                  <c:v>111</c:v>
                </c:pt>
                <c:pt idx="29">
                  <c:v>84</c:v>
                </c:pt>
              </c:numCache>
            </c:numRef>
          </c:val>
        </c:ser>
        <c:ser>
          <c:idx val="0"/>
          <c:order val="1"/>
          <c:tx>
            <c:strRef>
              <c:f>Business_Type_Report!$A$13</c:f>
              <c:strCache>
                <c:ptCount val="1"/>
                <c:pt idx="0">
                  <c:v>Group(Sold)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effectLst/>
          </c:spPr>
          <c:invertIfNegative val="0"/>
          <c:cat>
            <c:strRef>
              <c:f>Business_Type_Report!$B$3:$AF$3</c:f>
              <c:strCache>
                <c:ptCount val="31"/>
                <c:pt idx="0">
                  <c:v>2017-10-01 Sun</c:v>
                </c:pt>
                <c:pt idx="1">
                  <c:v>2017-10-02 Mon</c:v>
                </c:pt>
                <c:pt idx="2">
                  <c:v>2017-10-03 Tue</c:v>
                </c:pt>
                <c:pt idx="3">
                  <c:v>2017-10-04 Wed</c:v>
                </c:pt>
                <c:pt idx="4">
                  <c:v>2017-10-05 Thu</c:v>
                </c:pt>
                <c:pt idx="5">
                  <c:v>2017-10-06 Fri</c:v>
                </c:pt>
                <c:pt idx="6">
                  <c:v>2017-10-07 Sat</c:v>
                </c:pt>
                <c:pt idx="7">
                  <c:v>2017-10-08 Sun</c:v>
                </c:pt>
                <c:pt idx="8">
                  <c:v>2017-10-09 Mon</c:v>
                </c:pt>
                <c:pt idx="9">
                  <c:v>2017-10-10 Tue</c:v>
                </c:pt>
                <c:pt idx="10">
                  <c:v>2017-10-11 Wed</c:v>
                </c:pt>
                <c:pt idx="11">
                  <c:v>2017-10-12 Thu</c:v>
                </c:pt>
                <c:pt idx="12">
                  <c:v>2017-10-13 Fri</c:v>
                </c:pt>
                <c:pt idx="13">
                  <c:v>2017-10-14 Sat</c:v>
                </c:pt>
                <c:pt idx="14">
                  <c:v>2017-10-15 Sun</c:v>
                </c:pt>
                <c:pt idx="15">
                  <c:v>2017-10-16 Mon</c:v>
                </c:pt>
                <c:pt idx="16">
                  <c:v>2017-10-17 Tue</c:v>
                </c:pt>
                <c:pt idx="17">
                  <c:v>2017-10-18 Wed</c:v>
                </c:pt>
                <c:pt idx="18">
                  <c:v>2017-10-19 Thu</c:v>
                </c:pt>
                <c:pt idx="19">
                  <c:v>2017-10-20 Fri</c:v>
                </c:pt>
                <c:pt idx="20">
                  <c:v>2017-10-21 Sat</c:v>
                </c:pt>
                <c:pt idx="21">
                  <c:v>2017-10-22 Sun</c:v>
                </c:pt>
                <c:pt idx="22">
                  <c:v>2017-10-23 Mon</c:v>
                </c:pt>
                <c:pt idx="23">
                  <c:v>2017-10-24 Tue</c:v>
                </c:pt>
                <c:pt idx="24">
                  <c:v>2017-10-25 Wed</c:v>
                </c:pt>
                <c:pt idx="25">
                  <c:v>2017-10-26 Thu</c:v>
                </c:pt>
                <c:pt idx="26">
                  <c:v>2017-10-27 Fri</c:v>
                </c:pt>
                <c:pt idx="27">
                  <c:v>2017-10-28 Sat</c:v>
                </c:pt>
                <c:pt idx="28">
                  <c:v>2017-10-29 Sun</c:v>
                </c:pt>
                <c:pt idx="29">
                  <c:v>2017-10-30 Mon</c:v>
                </c:pt>
                <c:pt idx="30">
                  <c:v>2017-10-31 Tue</c:v>
                </c:pt>
              </c:strCache>
            </c:strRef>
          </c:cat>
          <c:val>
            <c:numRef>
              <c:f>Business_Type_Report!$B$13:$AF$13</c:f>
              <c:numCache>
                <c:formatCode>0_);[Red]\(0\)</c:formatCode>
                <c:ptCount val="31"/>
                <c:pt idx="0">
                  <c:v>9</c:v>
                </c:pt>
                <c:pt idx="1">
                  <c:v>13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26</c:v>
                </c:pt>
                <c:pt idx="10">
                  <c:v>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7</c:v>
                </c:pt>
                <c:pt idx="17">
                  <c:v>0</c:v>
                </c:pt>
                <c:pt idx="18">
                  <c:v>7</c:v>
                </c:pt>
                <c:pt idx="19">
                  <c:v>19</c:v>
                </c:pt>
                <c:pt idx="20">
                  <c:v>52</c:v>
                </c:pt>
                <c:pt idx="21">
                  <c:v>34</c:v>
                </c:pt>
                <c:pt idx="22">
                  <c:v>2</c:v>
                </c:pt>
                <c:pt idx="23">
                  <c:v>6</c:v>
                </c:pt>
                <c:pt idx="24">
                  <c:v>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</c:v>
                </c:pt>
                <c:pt idx="29">
                  <c:v>0</c:v>
                </c:pt>
                <c:pt idx="3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100"/>
        <c:axId val="410917888"/>
        <c:axId val="410975968"/>
      </c:barChart>
      <c:catAx>
        <c:axId val="4109178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0975968"/>
        <c:crosses val="autoZero"/>
        <c:auto val="1"/>
        <c:lblAlgn val="ctr"/>
        <c:lblOffset val="100"/>
        <c:noMultiLvlLbl val="1"/>
      </c:catAx>
      <c:valAx>
        <c:axId val="410975968"/>
        <c:scaling>
          <c:orientation val="minMax"/>
          <c:max val="500"/>
        </c:scaling>
        <c:delete val="0"/>
        <c:axPos val="l"/>
        <c:numFmt formatCode="#,##0_);[Red]\(#,##0\)" sourceLinked="0"/>
        <c:majorTickMark val="in"/>
        <c:minorTickMark val="none"/>
        <c:tickLblPos val="nextTo"/>
        <c:spPr>
          <a:noFill/>
          <a:ln>
            <a:solidFill>
              <a:schemeClr val="bg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410917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819532828282826"/>
          <c:y val="0.94730681818181806"/>
          <c:w val="0.27671981627296588"/>
          <c:h val="4.62789393978312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微软雅黑" panose="020B0503020204020204" pitchFamily="34" charset="-122"/>
          <a:ea typeface="微软雅黑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391268333365589E-2"/>
          <c:y val="4.7427567248203344E-2"/>
          <c:w val="0.88511300756814748"/>
          <c:h val="0.62834681231732525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Forecast_Validation!$A$4</c:f>
              <c:strCache>
                <c:ptCount val="1"/>
                <c:pt idx="0">
                  <c:v>ADR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FFFF00"/>
              </a:solidFill>
            </a:ln>
            <a:effectLst/>
          </c:spPr>
          <c:invertIfNegative val="0"/>
          <c:cat>
            <c:strRef>
              <c:f>Forecast_Validation!$B$3:$AF$3</c:f>
              <c:strCache>
                <c:ptCount val="31"/>
                <c:pt idx="0">
                  <c:v>2017-10-01 Sun</c:v>
                </c:pt>
                <c:pt idx="1">
                  <c:v>2017-10-02 Mon</c:v>
                </c:pt>
                <c:pt idx="2">
                  <c:v>2017-10-03 Tue</c:v>
                </c:pt>
                <c:pt idx="3">
                  <c:v>2017-10-04 Wed</c:v>
                </c:pt>
                <c:pt idx="4">
                  <c:v>2017-10-05 Thu</c:v>
                </c:pt>
                <c:pt idx="5">
                  <c:v>2017-10-06 Fri</c:v>
                </c:pt>
                <c:pt idx="6">
                  <c:v>2017-10-07 Sat</c:v>
                </c:pt>
                <c:pt idx="7">
                  <c:v>2017-10-08 Sun</c:v>
                </c:pt>
                <c:pt idx="8">
                  <c:v>2017-10-09 Mon</c:v>
                </c:pt>
                <c:pt idx="9">
                  <c:v>2017-10-10 Tue</c:v>
                </c:pt>
                <c:pt idx="10">
                  <c:v>2017-10-11 Wed</c:v>
                </c:pt>
                <c:pt idx="11">
                  <c:v>2017-10-12 Thu</c:v>
                </c:pt>
                <c:pt idx="12">
                  <c:v>2017-10-13 Fri</c:v>
                </c:pt>
                <c:pt idx="13">
                  <c:v>2017-10-14 Sat</c:v>
                </c:pt>
                <c:pt idx="14">
                  <c:v>2017-10-15 Sun</c:v>
                </c:pt>
                <c:pt idx="15">
                  <c:v>2017-10-16 Mon</c:v>
                </c:pt>
                <c:pt idx="16">
                  <c:v>2017-10-17 Tue</c:v>
                </c:pt>
                <c:pt idx="17">
                  <c:v>2017-10-18 Wed</c:v>
                </c:pt>
                <c:pt idx="18">
                  <c:v>2017-10-19 Thu</c:v>
                </c:pt>
                <c:pt idx="19">
                  <c:v>2017-10-20 Fri</c:v>
                </c:pt>
                <c:pt idx="20">
                  <c:v>2017-10-21 Sat</c:v>
                </c:pt>
                <c:pt idx="21">
                  <c:v>2017-10-22 Sun</c:v>
                </c:pt>
                <c:pt idx="22">
                  <c:v>2017-10-23 Mon</c:v>
                </c:pt>
                <c:pt idx="23">
                  <c:v>2017-10-24 Tue</c:v>
                </c:pt>
                <c:pt idx="24">
                  <c:v>2017-10-25 Wed</c:v>
                </c:pt>
                <c:pt idx="25">
                  <c:v>2017-10-26 Thu</c:v>
                </c:pt>
                <c:pt idx="26">
                  <c:v>2017-10-27 Fri</c:v>
                </c:pt>
                <c:pt idx="27">
                  <c:v>2017-10-28 Sat</c:v>
                </c:pt>
                <c:pt idx="28">
                  <c:v>2017-10-29 Sun</c:v>
                </c:pt>
                <c:pt idx="29">
                  <c:v>2017-10-30 Mon</c:v>
                </c:pt>
                <c:pt idx="30">
                  <c:v>2017-10-31 Tue</c:v>
                </c:pt>
              </c:strCache>
            </c:strRef>
          </c:cat>
          <c:val>
            <c:numRef>
              <c:f>Forecast_Validation!$B$4:$AF$4</c:f>
              <c:numCache>
                <c:formatCode>0_);[Red]\(0\)</c:formatCode>
                <c:ptCount val="31"/>
                <c:pt idx="0">
                  <c:v>957.46907514450868</c:v>
                </c:pt>
                <c:pt idx="1">
                  <c:v>1157.0998245614035</c:v>
                </c:pt>
                <c:pt idx="2">
                  <c:v>1247.4598333333333</c:v>
                </c:pt>
                <c:pt idx="3">
                  <c:v>1211.0353361344537</c:v>
                </c:pt>
                <c:pt idx="4">
                  <c:v>1150.9672807017544</c:v>
                </c:pt>
                <c:pt idx="5">
                  <c:v>1086.5435678391962</c:v>
                </c:pt>
                <c:pt idx="6">
                  <c:v>1054.2233576642336</c:v>
                </c:pt>
                <c:pt idx="7">
                  <c:v>1022.3172413793104</c:v>
                </c:pt>
                <c:pt idx="8">
                  <c:v>1043.1015789473684</c:v>
                </c:pt>
                <c:pt idx="9">
                  <c:v>1149.1647826086958</c:v>
                </c:pt>
                <c:pt idx="10">
                  <c:v>861.63873563218397</c:v>
                </c:pt>
                <c:pt idx="11">
                  <c:v>925.17058252427194</c:v>
                </c:pt>
                <c:pt idx="12">
                  <c:v>1021.5754368932039</c:v>
                </c:pt>
                <c:pt idx="13">
                  <c:v>1048.1623008849558</c:v>
                </c:pt>
                <c:pt idx="14">
                  <c:v>932.1037681159421</c:v>
                </c:pt>
                <c:pt idx="15">
                  <c:v>850.48261904761898</c:v>
                </c:pt>
                <c:pt idx="16">
                  <c:v>881.77811594202899</c:v>
                </c:pt>
                <c:pt idx="17">
                  <c:v>863.09134146341466</c:v>
                </c:pt>
                <c:pt idx="18">
                  <c:v>808.24796875000004</c:v>
                </c:pt>
                <c:pt idx="19">
                  <c:v>708.37166666666667</c:v>
                </c:pt>
                <c:pt idx="20">
                  <c:v>879.03655172413801</c:v>
                </c:pt>
                <c:pt idx="21">
                  <c:v>918.43500000000006</c:v>
                </c:pt>
                <c:pt idx="22">
                  <c:v>1069.626923076923</c:v>
                </c:pt>
                <c:pt idx="23">
                  <c:v>819.13666666666666</c:v>
                </c:pt>
                <c:pt idx="24">
                  <c:v>866.64458333333334</c:v>
                </c:pt>
                <c:pt idx="25">
                  <c:v>814.61399999999992</c:v>
                </c:pt>
                <c:pt idx="26">
                  <c:v>931.79466666666667</c:v>
                </c:pt>
                <c:pt idx="27">
                  <c:v>812.63777777777773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ser>
          <c:idx val="2"/>
          <c:order val="1"/>
          <c:tx>
            <c:strRef>
              <c:f>Forecast_Validation!$A$5</c:f>
              <c:strCache>
                <c:ptCount val="1"/>
                <c:pt idx="0">
                  <c:v>Last Room Vaule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FF"/>
              </a:solidFill>
            </a:ln>
            <a:effectLst/>
          </c:spPr>
          <c:invertIfNegative val="0"/>
          <c:cat>
            <c:strRef>
              <c:f>Forecast_Validation!$B$3:$AF$3</c:f>
              <c:strCache>
                <c:ptCount val="31"/>
                <c:pt idx="0">
                  <c:v>2017-10-01 Sun</c:v>
                </c:pt>
                <c:pt idx="1">
                  <c:v>2017-10-02 Mon</c:v>
                </c:pt>
                <c:pt idx="2">
                  <c:v>2017-10-03 Tue</c:v>
                </c:pt>
                <c:pt idx="3">
                  <c:v>2017-10-04 Wed</c:v>
                </c:pt>
                <c:pt idx="4">
                  <c:v>2017-10-05 Thu</c:v>
                </c:pt>
                <c:pt idx="5">
                  <c:v>2017-10-06 Fri</c:v>
                </c:pt>
                <c:pt idx="6">
                  <c:v>2017-10-07 Sat</c:v>
                </c:pt>
                <c:pt idx="7">
                  <c:v>2017-10-08 Sun</c:v>
                </c:pt>
                <c:pt idx="8">
                  <c:v>2017-10-09 Mon</c:v>
                </c:pt>
                <c:pt idx="9">
                  <c:v>2017-10-10 Tue</c:v>
                </c:pt>
                <c:pt idx="10">
                  <c:v>2017-10-11 Wed</c:v>
                </c:pt>
                <c:pt idx="11">
                  <c:v>2017-10-12 Thu</c:v>
                </c:pt>
                <c:pt idx="12">
                  <c:v>2017-10-13 Fri</c:v>
                </c:pt>
                <c:pt idx="13">
                  <c:v>2017-10-14 Sat</c:v>
                </c:pt>
                <c:pt idx="14">
                  <c:v>2017-10-15 Sun</c:v>
                </c:pt>
                <c:pt idx="15">
                  <c:v>2017-10-16 Mon</c:v>
                </c:pt>
                <c:pt idx="16">
                  <c:v>2017-10-17 Tue</c:v>
                </c:pt>
                <c:pt idx="17">
                  <c:v>2017-10-18 Wed</c:v>
                </c:pt>
                <c:pt idx="18">
                  <c:v>2017-10-19 Thu</c:v>
                </c:pt>
                <c:pt idx="19">
                  <c:v>2017-10-20 Fri</c:v>
                </c:pt>
                <c:pt idx="20">
                  <c:v>2017-10-21 Sat</c:v>
                </c:pt>
                <c:pt idx="21">
                  <c:v>2017-10-22 Sun</c:v>
                </c:pt>
                <c:pt idx="22">
                  <c:v>2017-10-23 Mon</c:v>
                </c:pt>
                <c:pt idx="23">
                  <c:v>2017-10-24 Tue</c:v>
                </c:pt>
                <c:pt idx="24">
                  <c:v>2017-10-25 Wed</c:v>
                </c:pt>
                <c:pt idx="25">
                  <c:v>2017-10-26 Thu</c:v>
                </c:pt>
                <c:pt idx="26">
                  <c:v>2017-10-27 Fri</c:v>
                </c:pt>
                <c:pt idx="27">
                  <c:v>2017-10-28 Sat</c:v>
                </c:pt>
                <c:pt idx="28">
                  <c:v>2017-10-29 Sun</c:v>
                </c:pt>
                <c:pt idx="29">
                  <c:v>2017-10-30 Mon</c:v>
                </c:pt>
                <c:pt idx="30">
                  <c:v>2017-10-31 Tue</c:v>
                </c:pt>
              </c:strCache>
            </c:strRef>
          </c:cat>
          <c:val>
            <c:numRef>
              <c:f>Forecast_Validation!$B$5:$AF$5</c:f>
              <c:numCache>
                <c:formatCode>0_);[Red]\(0\)</c:formatCode>
                <c:ptCount val="31"/>
                <c:pt idx="0">
                  <c:v>0</c:v>
                </c:pt>
                <c:pt idx="1">
                  <c:v>994.76</c:v>
                </c:pt>
                <c:pt idx="2">
                  <c:v>5957.18</c:v>
                </c:pt>
                <c:pt idx="3">
                  <c:v>1646.5</c:v>
                </c:pt>
                <c:pt idx="4">
                  <c:v>1342.51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1282864"/>
        <c:axId val="411282304"/>
      </c:barChart>
      <c:lineChart>
        <c:grouping val="standard"/>
        <c:varyColors val="0"/>
        <c:ser>
          <c:idx val="3"/>
          <c:order val="2"/>
          <c:tx>
            <c:strRef>
              <c:f>Forecast_Validation!$A$6</c:f>
              <c:strCache>
                <c:ptCount val="1"/>
                <c:pt idx="0">
                  <c:v>Room Sold TY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cat>
            <c:strRef>
              <c:f>Forecast_Validation!$B$3:$AF$3</c:f>
              <c:strCache>
                <c:ptCount val="31"/>
                <c:pt idx="0">
                  <c:v>2017-10-01 Sun</c:v>
                </c:pt>
                <c:pt idx="1">
                  <c:v>2017-10-02 Mon</c:v>
                </c:pt>
                <c:pt idx="2">
                  <c:v>2017-10-03 Tue</c:v>
                </c:pt>
                <c:pt idx="3">
                  <c:v>2017-10-04 Wed</c:v>
                </c:pt>
                <c:pt idx="4">
                  <c:v>2017-10-05 Thu</c:v>
                </c:pt>
                <c:pt idx="5">
                  <c:v>2017-10-06 Fri</c:v>
                </c:pt>
                <c:pt idx="6">
                  <c:v>2017-10-07 Sat</c:v>
                </c:pt>
                <c:pt idx="7">
                  <c:v>2017-10-08 Sun</c:v>
                </c:pt>
                <c:pt idx="8">
                  <c:v>2017-10-09 Mon</c:v>
                </c:pt>
                <c:pt idx="9">
                  <c:v>2017-10-10 Tue</c:v>
                </c:pt>
                <c:pt idx="10">
                  <c:v>2017-10-11 Wed</c:v>
                </c:pt>
                <c:pt idx="11">
                  <c:v>2017-10-12 Thu</c:v>
                </c:pt>
                <c:pt idx="12">
                  <c:v>2017-10-13 Fri</c:v>
                </c:pt>
                <c:pt idx="13">
                  <c:v>2017-10-14 Sat</c:v>
                </c:pt>
                <c:pt idx="14">
                  <c:v>2017-10-15 Sun</c:v>
                </c:pt>
                <c:pt idx="15">
                  <c:v>2017-10-16 Mon</c:v>
                </c:pt>
                <c:pt idx="16">
                  <c:v>2017-10-17 Tue</c:v>
                </c:pt>
                <c:pt idx="17">
                  <c:v>2017-10-18 Wed</c:v>
                </c:pt>
                <c:pt idx="18">
                  <c:v>2017-10-19 Thu</c:v>
                </c:pt>
                <c:pt idx="19">
                  <c:v>2017-10-20 Fri</c:v>
                </c:pt>
                <c:pt idx="20">
                  <c:v>2017-10-21 Sat</c:v>
                </c:pt>
                <c:pt idx="21">
                  <c:v>2017-10-22 Sun</c:v>
                </c:pt>
                <c:pt idx="22">
                  <c:v>2017-10-23 Mon</c:v>
                </c:pt>
                <c:pt idx="23">
                  <c:v>2017-10-24 Tue</c:v>
                </c:pt>
                <c:pt idx="24">
                  <c:v>2017-10-25 Wed</c:v>
                </c:pt>
                <c:pt idx="25">
                  <c:v>2017-10-26 Thu</c:v>
                </c:pt>
                <c:pt idx="26">
                  <c:v>2017-10-27 Fri</c:v>
                </c:pt>
                <c:pt idx="27">
                  <c:v>2017-10-28 Sat</c:v>
                </c:pt>
                <c:pt idx="28">
                  <c:v>2017-10-29 Sun</c:v>
                </c:pt>
                <c:pt idx="29">
                  <c:v>2017-10-30 Mon</c:v>
                </c:pt>
                <c:pt idx="30">
                  <c:v>2017-10-31 Tue</c:v>
                </c:pt>
              </c:strCache>
            </c:strRef>
          </c:cat>
          <c:val>
            <c:numRef>
              <c:f>Forecast_Validation!$B$6:$AF$6</c:f>
              <c:numCache>
                <c:formatCode>0_);[Red]\(0\)</c:formatCode>
                <c:ptCount val="31"/>
                <c:pt idx="0">
                  <c:v>173</c:v>
                </c:pt>
                <c:pt idx="1">
                  <c:v>228</c:v>
                </c:pt>
                <c:pt idx="2">
                  <c:v>240</c:v>
                </c:pt>
                <c:pt idx="3">
                  <c:v>238</c:v>
                </c:pt>
                <c:pt idx="4">
                  <c:v>228</c:v>
                </c:pt>
                <c:pt idx="5">
                  <c:v>199</c:v>
                </c:pt>
                <c:pt idx="6">
                  <c:v>137</c:v>
                </c:pt>
                <c:pt idx="7">
                  <c:v>58</c:v>
                </c:pt>
                <c:pt idx="8">
                  <c:v>38</c:v>
                </c:pt>
                <c:pt idx="9">
                  <c:v>46</c:v>
                </c:pt>
                <c:pt idx="10">
                  <c:v>87</c:v>
                </c:pt>
                <c:pt idx="11">
                  <c:v>103</c:v>
                </c:pt>
                <c:pt idx="12">
                  <c:v>103</c:v>
                </c:pt>
                <c:pt idx="13">
                  <c:v>113</c:v>
                </c:pt>
                <c:pt idx="14">
                  <c:v>69</c:v>
                </c:pt>
                <c:pt idx="15">
                  <c:v>42</c:v>
                </c:pt>
                <c:pt idx="16">
                  <c:v>69</c:v>
                </c:pt>
                <c:pt idx="17">
                  <c:v>82</c:v>
                </c:pt>
                <c:pt idx="18">
                  <c:v>64</c:v>
                </c:pt>
                <c:pt idx="19">
                  <c:v>30</c:v>
                </c:pt>
                <c:pt idx="20">
                  <c:v>29</c:v>
                </c:pt>
                <c:pt idx="21">
                  <c:v>20</c:v>
                </c:pt>
                <c:pt idx="22">
                  <c:v>13</c:v>
                </c:pt>
                <c:pt idx="23">
                  <c:v>15</c:v>
                </c:pt>
                <c:pt idx="24">
                  <c:v>24</c:v>
                </c:pt>
                <c:pt idx="25">
                  <c:v>25</c:v>
                </c:pt>
                <c:pt idx="26">
                  <c:v>15</c:v>
                </c:pt>
                <c:pt idx="27">
                  <c:v>9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Forecast_Validation!$A$7</c:f>
              <c:strCache>
                <c:ptCount val="1"/>
                <c:pt idx="0">
                  <c:v>Room Sold LY</c:v>
                </c:pt>
              </c:strCache>
            </c:strRef>
          </c:tx>
          <c:spPr>
            <a:ln w="12700" cap="rnd">
              <a:solidFill>
                <a:srgbClr val="FF9933"/>
              </a:solidFill>
              <a:round/>
            </a:ln>
            <a:effectLst/>
          </c:spPr>
          <c:marker>
            <c:symbol val="none"/>
          </c:marker>
          <c:cat>
            <c:strRef>
              <c:f>Forecast_Validation!$B$3:$AF$3</c:f>
              <c:strCache>
                <c:ptCount val="31"/>
                <c:pt idx="0">
                  <c:v>2017-10-01 Sun</c:v>
                </c:pt>
                <c:pt idx="1">
                  <c:v>2017-10-02 Mon</c:v>
                </c:pt>
                <c:pt idx="2">
                  <c:v>2017-10-03 Tue</c:v>
                </c:pt>
                <c:pt idx="3">
                  <c:v>2017-10-04 Wed</c:v>
                </c:pt>
                <c:pt idx="4">
                  <c:v>2017-10-05 Thu</c:v>
                </c:pt>
                <c:pt idx="5">
                  <c:v>2017-10-06 Fri</c:v>
                </c:pt>
                <c:pt idx="6">
                  <c:v>2017-10-07 Sat</c:v>
                </c:pt>
                <c:pt idx="7">
                  <c:v>2017-10-08 Sun</c:v>
                </c:pt>
                <c:pt idx="8">
                  <c:v>2017-10-09 Mon</c:v>
                </c:pt>
                <c:pt idx="9">
                  <c:v>2017-10-10 Tue</c:v>
                </c:pt>
                <c:pt idx="10">
                  <c:v>2017-10-11 Wed</c:v>
                </c:pt>
                <c:pt idx="11">
                  <c:v>2017-10-12 Thu</c:v>
                </c:pt>
                <c:pt idx="12">
                  <c:v>2017-10-13 Fri</c:v>
                </c:pt>
                <c:pt idx="13">
                  <c:v>2017-10-14 Sat</c:v>
                </c:pt>
                <c:pt idx="14">
                  <c:v>2017-10-15 Sun</c:v>
                </c:pt>
                <c:pt idx="15">
                  <c:v>2017-10-16 Mon</c:v>
                </c:pt>
                <c:pt idx="16">
                  <c:v>2017-10-17 Tue</c:v>
                </c:pt>
                <c:pt idx="17">
                  <c:v>2017-10-18 Wed</c:v>
                </c:pt>
                <c:pt idx="18">
                  <c:v>2017-10-19 Thu</c:v>
                </c:pt>
                <c:pt idx="19">
                  <c:v>2017-10-20 Fri</c:v>
                </c:pt>
                <c:pt idx="20">
                  <c:v>2017-10-21 Sat</c:v>
                </c:pt>
                <c:pt idx="21">
                  <c:v>2017-10-22 Sun</c:v>
                </c:pt>
                <c:pt idx="22">
                  <c:v>2017-10-23 Mon</c:v>
                </c:pt>
                <c:pt idx="23">
                  <c:v>2017-10-24 Tue</c:v>
                </c:pt>
                <c:pt idx="24">
                  <c:v>2017-10-25 Wed</c:v>
                </c:pt>
                <c:pt idx="25">
                  <c:v>2017-10-26 Thu</c:v>
                </c:pt>
                <c:pt idx="26">
                  <c:v>2017-10-27 Fri</c:v>
                </c:pt>
                <c:pt idx="27">
                  <c:v>2017-10-28 Sat</c:v>
                </c:pt>
                <c:pt idx="28">
                  <c:v>2017-10-29 Sun</c:v>
                </c:pt>
                <c:pt idx="29">
                  <c:v>2017-10-30 Mon</c:v>
                </c:pt>
                <c:pt idx="30">
                  <c:v>2017-10-31 Tue</c:v>
                </c:pt>
              </c:strCache>
            </c:strRef>
          </c:cat>
          <c:val>
            <c:numRef>
              <c:f>Forecast_Validation!$B$7:$AF$7</c:f>
              <c:numCache>
                <c:formatCode>0_);[Red]\(0\)</c:formatCode>
                <c:ptCount val="31"/>
                <c:pt idx="0">
                  <c:v>164</c:v>
                </c:pt>
                <c:pt idx="1">
                  <c:v>203</c:v>
                </c:pt>
                <c:pt idx="2">
                  <c:v>239</c:v>
                </c:pt>
                <c:pt idx="3">
                  <c:v>237</c:v>
                </c:pt>
                <c:pt idx="4">
                  <c:v>212</c:v>
                </c:pt>
                <c:pt idx="5">
                  <c:v>107</c:v>
                </c:pt>
                <c:pt idx="6">
                  <c:v>69</c:v>
                </c:pt>
                <c:pt idx="7">
                  <c:v>65</c:v>
                </c:pt>
                <c:pt idx="8">
                  <c:v>65</c:v>
                </c:pt>
                <c:pt idx="9">
                  <c:v>122</c:v>
                </c:pt>
                <c:pt idx="10">
                  <c:v>80</c:v>
                </c:pt>
                <c:pt idx="11">
                  <c:v>74</c:v>
                </c:pt>
                <c:pt idx="12">
                  <c:v>91</c:v>
                </c:pt>
                <c:pt idx="13">
                  <c:v>105</c:v>
                </c:pt>
                <c:pt idx="14">
                  <c:v>97</c:v>
                </c:pt>
                <c:pt idx="15">
                  <c:v>70</c:v>
                </c:pt>
                <c:pt idx="16">
                  <c:v>96</c:v>
                </c:pt>
                <c:pt idx="17">
                  <c:v>87</c:v>
                </c:pt>
                <c:pt idx="18">
                  <c:v>93</c:v>
                </c:pt>
                <c:pt idx="19">
                  <c:v>129</c:v>
                </c:pt>
                <c:pt idx="20">
                  <c:v>185</c:v>
                </c:pt>
                <c:pt idx="21">
                  <c:v>156</c:v>
                </c:pt>
                <c:pt idx="22">
                  <c:v>81</c:v>
                </c:pt>
                <c:pt idx="23">
                  <c:v>67</c:v>
                </c:pt>
                <c:pt idx="24">
                  <c:v>82</c:v>
                </c:pt>
                <c:pt idx="25">
                  <c:v>86</c:v>
                </c:pt>
                <c:pt idx="26">
                  <c:v>86</c:v>
                </c:pt>
                <c:pt idx="27">
                  <c:v>122</c:v>
                </c:pt>
                <c:pt idx="28">
                  <c:v>114</c:v>
                </c:pt>
                <c:pt idx="29">
                  <c:v>84</c:v>
                </c:pt>
                <c:pt idx="30">
                  <c:v>70</c:v>
                </c:pt>
              </c:numCache>
            </c:numRef>
          </c:val>
          <c:smooth val="0"/>
        </c:ser>
        <c:ser>
          <c:idx val="0"/>
          <c:order val="4"/>
          <c:tx>
            <c:strRef>
              <c:f>Forecast_Validation!$A$8</c:f>
              <c:strCache>
                <c:ptCount val="1"/>
                <c:pt idx="0">
                  <c:v>Occ Fcst</c:v>
                </c:pt>
              </c:strCache>
            </c:strRef>
          </c:tx>
          <c:spPr>
            <a:ln w="28575" cap="rnd">
              <a:solidFill>
                <a:srgbClr val="00FF0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Forecast_Validation!$B$3:$AF$3</c:f>
              <c:strCache>
                <c:ptCount val="31"/>
                <c:pt idx="0">
                  <c:v>2017-10-01 Sun</c:v>
                </c:pt>
                <c:pt idx="1">
                  <c:v>2017-10-02 Mon</c:v>
                </c:pt>
                <c:pt idx="2">
                  <c:v>2017-10-03 Tue</c:v>
                </c:pt>
                <c:pt idx="3">
                  <c:v>2017-10-04 Wed</c:v>
                </c:pt>
                <c:pt idx="4">
                  <c:v>2017-10-05 Thu</c:v>
                </c:pt>
                <c:pt idx="5">
                  <c:v>2017-10-06 Fri</c:v>
                </c:pt>
                <c:pt idx="6">
                  <c:v>2017-10-07 Sat</c:v>
                </c:pt>
                <c:pt idx="7">
                  <c:v>2017-10-08 Sun</c:v>
                </c:pt>
                <c:pt idx="8">
                  <c:v>2017-10-09 Mon</c:v>
                </c:pt>
                <c:pt idx="9">
                  <c:v>2017-10-10 Tue</c:v>
                </c:pt>
                <c:pt idx="10">
                  <c:v>2017-10-11 Wed</c:v>
                </c:pt>
                <c:pt idx="11">
                  <c:v>2017-10-12 Thu</c:v>
                </c:pt>
                <c:pt idx="12">
                  <c:v>2017-10-13 Fri</c:v>
                </c:pt>
                <c:pt idx="13">
                  <c:v>2017-10-14 Sat</c:v>
                </c:pt>
                <c:pt idx="14">
                  <c:v>2017-10-15 Sun</c:v>
                </c:pt>
                <c:pt idx="15">
                  <c:v>2017-10-16 Mon</c:v>
                </c:pt>
                <c:pt idx="16">
                  <c:v>2017-10-17 Tue</c:v>
                </c:pt>
                <c:pt idx="17">
                  <c:v>2017-10-18 Wed</c:v>
                </c:pt>
                <c:pt idx="18">
                  <c:v>2017-10-19 Thu</c:v>
                </c:pt>
                <c:pt idx="19">
                  <c:v>2017-10-20 Fri</c:v>
                </c:pt>
                <c:pt idx="20">
                  <c:v>2017-10-21 Sat</c:v>
                </c:pt>
                <c:pt idx="21">
                  <c:v>2017-10-22 Sun</c:v>
                </c:pt>
                <c:pt idx="22">
                  <c:v>2017-10-23 Mon</c:v>
                </c:pt>
                <c:pt idx="23">
                  <c:v>2017-10-24 Tue</c:v>
                </c:pt>
                <c:pt idx="24">
                  <c:v>2017-10-25 Wed</c:v>
                </c:pt>
                <c:pt idx="25">
                  <c:v>2017-10-26 Thu</c:v>
                </c:pt>
                <c:pt idx="26">
                  <c:v>2017-10-27 Fri</c:v>
                </c:pt>
                <c:pt idx="27">
                  <c:v>2017-10-28 Sat</c:v>
                </c:pt>
                <c:pt idx="28">
                  <c:v>2017-10-29 Sun</c:v>
                </c:pt>
                <c:pt idx="29">
                  <c:v>2017-10-30 Mon</c:v>
                </c:pt>
                <c:pt idx="30">
                  <c:v>2017-10-31 Tue</c:v>
                </c:pt>
              </c:strCache>
            </c:strRef>
          </c:cat>
          <c:val>
            <c:numRef>
              <c:f>Forecast_Validation!$B$8:$AF$8</c:f>
              <c:numCache>
                <c:formatCode>0_);[Red]\(0\)</c:formatCode>
                <c:ptCount val="31"/>
                <c:pt idx="0">
                  <c:v>203</c:v>
                </c:pt>
                <c:pt idx="1">
                  <c:v>240</c:v>
                </c:pt>
                <c:pt idx="2">
                  <c:v>240</c:v>
                </c:pt>
                <c:pt idx="3">
                  <c:v>240</c:v>
                </c:pt>
                <c:pt idx="4">
                  <c:v>240</c:v>
                </c:pt>
                <c:pt idx="5">
                  <c:v>194</c:v>
                </c:pt>
                <c:pt idx="6">
                  <c:v>139</c:v>
                </c:pt>
                <c:pt idx="7">
                  <c:v>62</c:v>
                </c:pt>
                <c:pt idx="8">
                  <c:v>38</c:v>
                </c:pt>
                <c:pt idx="9">
                  <c:v>52</c:v>
                </c:pt>
                <c:pt idx="10">
                  <c:v>86</c:v>
                </c:pt>
                <c:pt idx="11">
                  <c:v>107</c:v>
                </c:pt>
                <c:pt idx="12">
                  <c:v>105</c:v>
                </c:pt>
                <c:pt idx="13">
                  <c:v>110</c:v>
                </c:pt>
                <c:pt idx="14">
                  <c:v>76</c:v>
                </c:pt>
                <c:pt idx="15">
                  <c:v>69</c:v>
                </c:pt>
                <c:pt idx="16">
                  <c:v>119</c:v>
                </c:pt>
                <c:pt idx="17">
                  <c:v>144</c:v>
                </c:pt>
                <c:pt idx="18">
                  <c:v>130</c:v>
                </c:pt>
                <c:pt idx="19">
                  <c:v>124</c:v>
                </c:pt>
                <c:pt idx="20">
                  <c:v>131</c:v>
                </c:pt>
                <c:pt idx="21">
                  <c:v>104</c:v>
                </c:pt>
                <c:pt idx="22">
                  <c:v>86</c:v>
                </c:pt>
                <c:pt idx="23">
                  <c:v>95</c:v>
                </c:pt>
                <c:pt idx="24">
                  <c:v>110</c:v>
                </c:pt>
                <c:pt idx="25">
                  <c:v>114</c:v>
                </c:pt>
                <c:pt idx="26">
                  <c:v>124</c:v>
                </c:pt>
                <c:pt idx="27">
                  <c:v>120</c:v>
                </c:pt>
                <c:pt idx="28">
                  <c:v>87</c:v>
                </c:pt>
                <c:pt idx="29">
                  <c:v>81</c:v>
                </c:pt>
                <c:pt idx="30">
                  <c:v>86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Forecast_Validation!$A$9</c:f>
              <c:strCache>
                <c:ptCount val="1"/>
                <c:pt idx="0">
                  <c:v>System  Demond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Forecast_Validation!$B$3:$AF$3</c:f>
              <c:strCache>
                <c:ptCount val="31"/>
                <c:pt idx="0">
                  <c:v>2017-10-01 Sun</c:v>
                </c:pt>
                <c:pt idx="1">
                  <c:v>2017-10-02 Mon</c:v>
                </c:pt>
                <c:pt idx="2">
                  <c:v>2017-10-03 Tue</c:v>
                </c:pt>
                <c:pt idx="3">
                  <c:v>2017-10-04 Wed</c:v>
                </c:pt>
                <c:pt idx="4">
                  <c:v>2017-10-05 Thu</c:v>
                </c:pt>
                <c:pt idx="5">
                  <c:v>2017-10-06 Fri</c:v>
                </c:pt>
                <c:pt idx="6">
                  <c:v>2017-10-07 Sat</c:v>
                </c:pt>
                <c:pt idx="7">
                  <c:v>2017-10-08 Sun</c:v>
                </c:pt>
                <c:pt idx="8">
                  <c:v>2017-10-09 Mon</c:v>
                </c:pt>
                <c:pt idx="9">
                  <c:v>2017-10-10 Tue</c:v>
                </c:pt>
                <c:pt idx="10">
                  <c:v>2017-10-11 Wed</c:v>
                </c:pt>
                <c:pt idx="11">
                  <c:v>2017-10-12 Thu</c:v>
                </c:pt>
                <c:pt idx="12">
                  <c:v>2017-10-13 Fri</c:v>
                </c:pt>
                <c:pt idx="13">
                  <c:v>2017-10-14 Sat</c:v>
                </c:pt>
                <c:pt idx="14">
                  <c:v>2017-10-15 Sun</c:v>
                </c:pt>
                <c:pt idx="15">
                  <c:v>2017-10-16 Mon</c:v>
                </c:pt>
                <c:pt idx="16">
                  <c:v>2017-10-17 Tue</c:v>
                </c:pt>
                <c:pt idx="17">
                  <c:v>2017-10-18 Wed</c:v>
                </c:pt>
                <c:pt idx="18">
                  <c:v>2017-10-19 Thu</c:v>
                </c:pt>
                <c:pt idx="19">
                  <c:v>2017-10-20 Fri</c:v>
                </c:pt>
                <c:pt idx="20">
                  <c:v>2017-10-21 Sat</c:v>
                </c:pt>
                <c:pt idx="21">
                  <c:v>2017-10-22 Sun</c:v>
                </c:pt>
                <c:pt idx="22">
                  <c:v>2017-10-23 Mon</c:v>
                </c:pt>
                <c:pt idx="23">
                  <c:v>2017-10-24 Tue</c:v>
                </c:pt>
                <c:pt idx="24">
                  <c:v>2017-10-25 Wed</c:v>
                </c:pt>
                <c:pt idx="25">
                  <c:v>2017-10-26 Thu</c:v>
                </c:pt>
                <c:pt idx="26">
                  <c:v>2017-10-27 Fri</c:v>
                </c:pt>
                <c:pt idx="27">
                  <c:v>2017-10-28 Sat</c:v>
                </c:pt>
                <c:pt idx="28">
                  <c:v>2017-10-29 Sun</c:v>
                </c:pt>
                <c:pt idx="29">
                  <c:v>2017-10-30 Mon</c:v>
                </c:pt>
                <c:pt idx="30">
                  <c:v>2017-10-31 Tue</c:v>
                </c:pt>
              </c:strCache>
            </c:strRef>
          </c:cat>
          <c:val>
            <c:numRef>
              <c:f>Forecast_Validation!$B$9:$AF$9</c:f>
              <c:numCache>
                <c:formatCode>0_);[Red]\(0\)</c:formatCode>
                <c:ptCount val="31"/>
                <c:pt idx="0">
                  <c:v>206</c:v>
                </c:pt>
                <c:pt idx="1">
                  <c:v>251</c:v>
                </c:pt>
                <c:pt idx="2">
                  <c:v>286</c:v>
                </c:pt>
                <c:pt idx="3">
                  <c:v>269</c:v>
                </c:pt>
                <c:pt idx="4">
                  <c:v>251</c:v>
                </c:pt>
                <c:pt idx="5">
                  <c:v>196</c:v>
                </c:pt>
                <c:pt idx="6">
                  <c:v>141</c:v>
                </c:pt>
                <c:pt idx="7">
                  <c:v>63</c:v>
                </c:pt>
                <c:pt idx="8">
                  <c:v>39</c:v>
                </c:pt>
                <c:pt idx="9">
                  <c:v>53</c:v>
                </c:pt>
                <c:pt idx="10">
                  <c:v>87</c:v>
                </c:pt>
                <c:pt idx="11">
                  <c:v>108</c:v>
                </c:pt>
                <c:pt idx="12">
                  <c:v>107</c:v>
                </c:pt>
                <c:pt idx="13">
                  <c:v>111</c:v>
                </c:pt>
                <c:pt idx="14">
                  <c:v>76</c:v>
                </c:pt>
                <c:pt idx="15">
                  <c:v>69</c:v>
                </c:pt>
                <c:pt idx="16">
                  <c:v>120</c:v>
                </c:pt>
                <c:pt idx="17">
                  <c:v>145</c:v>
                </c:pt>
                <c:pt idx="18">
                  <c:v>131</c:v>
                </c:pt>
                <c:pt idx="19">
                  <c:v>126</c:v>
                </c:pt>
                <c:pt idx="20">
                  <c:v>133</c:v>
                </c:pt>
                <c:pt idx="21">
                  <c:v>105</c:v>
                </c:pt>
                <c:pt idx="22">
                  <c:v>88</c:v>
                </c:pt>
                <c:pt idx="23">
                  <c:v>95</c:v>
                </c:pt>
                <c:pt idx="24">
                  <c:v>111</c:v>
                </c:pt>
                <c:pt idx="25">
                  <c:v>116</c:v>
                </c:pt>
                <c:pt idx="26">
                  <c:v>126</c:v>
                </c:pt>
                <c:pt idx="27">
                  <c:v>122</c:v>
                </c:pt>
                <c:pt idx="28">
                  <c:v>88</c:v>
                </c:pt>
                <c:pt idx="29">
                  <c:v>81</c:v>
                </c:pt>
                <c:pt idx="30">
                  <c:v>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281184"/>
        <c:axId val="411281744"/>
      </c:lineChart>
      <c:scatterChart>
        <c:scatterStyle val="lineMarker"/>
        <c:varyColors val="0"/>
        <c:ser>
          <c:idx val="6"/>
          <c:order val="6"/>
          <c:tx>
            <c:strRef>
              <c:f>Forecast_Validation!$A$10</c:f>
              <c:strCache>
                <c:ptCount val="1"/>
                <c:pt idx="0">
                  <c:v>Special Event TY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strRef>
              <c:f>Forecast_Validation!$B$3:$AF$3</c:f>
              <c:strCache>
                <c:ptCount val="31"/>
                <c:pt idx="0">
                  <c:v>2017-10-01 Sun</c:v>
                </c:pt>
                <c:pt idx="1">
                  <c:v>2017-10-02 Mon</c:v>
                </c:pt>
                <c:pt idx="2">
                  <c:v>2017-10-03 Tue</c:v>
                </c:pt>
                <c:pt idx="3">
                  <c:v>2017-10-04 Wed</c:v>
                </c:pt>
                <c:pt idx="4">
                  <c:v>2017-10-05 Thu</c:v>
                </c:pt>
                <c:pt idx="5">
                  <c:v>2017-10-06 Fri</c:v>
                </c:pt>
                <c:pt idx="6">
                  <c:v>2017-10-07 Sat</c:v>
                </c:pt>
                <c:pt idx="7">
                  <c:v>2017-10-08 Sun</c:v>
                </c:pt>
                <c:pt idx="8">
                  <c:v>2017-10-09 Mon</c:v>
                </c:pt>
                <c:pt idx="9">
                  <c:v>2017-10-10 Tue</c:v>
                </c:pt>
                <c:pt idx="10">
                  <c:v>2017-10-11 Wed</c:v>
                </c:pt>
                <c:pt idx="11">
                  <c:v>2017-10-12 Thu</c:v>
                </c:pt>
                <c:pt idx="12">
                  <c:v>2017-10-13 Fri</c:v>
                </c:pt>
                <c:pt idx="13">
                  <c:v>2017-10-14 Sat</c:v>
                </c:pt>
                <c:pt idx="14">
                  <c:v>2017-10-15 Sun</c:v>
                </c:pt>
                <c:pt idx="15">
                  <c:v>2017-10-16 Mon</c:v>
                </c:pt>
                <c:pt idx="16">
                  <c:v>2017-10-17 Tue</c:v>
                </c:pt>
                <c:pt idx="17">
                  <c:v>2017-10-18 Wed</c:v>
                </c:pt>
                <c:pt idx="18">
                  <c:v>2017-10-19 Thu</c:v>
                </c:pt>
                <c:pt idx="19">
                  <c:v>2017-10-20 Fri</c:v>
                </c:pt>
                <c:pt idx="20">
                  <c:v>2017-10-21 Sat</c:v>
                </c:pt>
                <c:pt idx="21">
                  <c:v>2017-10-22 Sun</c:v>
                </c:pt>
                <c:pt idx="22">
                  <c:v>2017-10-23 Mon</c:v>
                </c:pt>
                <c:pt idx="23">
                  <c:v>2017-10-24 Tue</c:v>
                </c:pt>
                <c:pt idx="24">
                  <c:v>2017-10-25 Wed</c:v>
                </c:pt>
                <c:pt idx="25">
                  <c:v>2017-10-26 Thu</c:v>
                </c:pt>
                <c:pt idx="26">
                  <c:v>2017-10-27 Fri</c:v>
                </c:pt>
                <c:pt idx="27">
                  <c:v>2017-10-28 Sat</c:v>
                </c:pt>
                <c:pt idx="28">
                  <c:v>2017-10-29 Sun</c:v>
                </c:pt>
                <c:pt idx="29">
                  <c:v>2017-10-30 Mon</c:v>
                </c:pt>
                <c:pt idx="30">
                  <c:v>2017-10-31 Tue</c:v>
                </c:pt>
              </c:strCache>
            </c:strRef>
          </c:xVal>
          <c:yVal>
            <c:numRef>
              <c:f>Forecast_Validation!$B$10:$AF$10</c:f>
              <c:numCache>
                <c:formatCode>0_);[Red]\(0\)</c:formatCode>
                <c:ptCount val="31"/>
                <c:pt idx="0">
                  <c:v>240</c:v>
                </c:pt>
                <c:pt idx="1">
                  <c:v>240</c:v>
                </c:pt>
                <c:pt idx="2">
                  <c:v>240</c:v>
                </c:pt>
                <c:pt idx="3">
                  <c:v>240</c:v>
                </c:pt>
                <c:pt idx="4">
                  <c:v>240</c:v>
                </c:pt>
                <c:pt idx="5">
                  <c:v>240</c:v>
                </c:pt>
                <c:pt idx="6">
                  <c:v>240</c:v>
                </c:pt>
                <c:pt idx="7">
                  <c:v>240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Forecast_Validation!$A$11</c:f>
              <c:strCache>
                <c:ptCount val="1"/>
                <c:pt idx="0">
                  <c:v>Special Event LY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0000FF"/>
              </a:solidFill>
              <a:ln w="9525">
                <a:solidFill>
                  <a:srgbClr val="0000FF"/>
                </a:solidFill>
              </a:ln>
              <a:effectLst/>
            </c:spPr>
          </c:marker>
          <c:xVal>
            <c:strRef>
              <c:f>Forecast_Validation!$B$3:$AF$3</c:f>
              <c:strCache>
                <c:ptCount val="31"/>
                <c:pt idx="0">
                  <c:v>2017-10-01 Sun</c:v>
                </c:pt>
                <c:pt idx="1">
                  <c:v>2017-10-02 Mon</c:v>
                </c:pt>
                <c:pt idx="2">
                  <c:v>2017-10-03 Tue</c:v>
                </c:pt>
                <c:pt idx="3">
                  <c:v>2017-10-04 Wed</c:v>
                </c:pt>
                <c:pt idx="4">
                  <c:v>2017-10-05 Thu</c:v>
                </c:pt>
                <c:pt idx="5">
                  <c:v>2017-10-06 Fri</c:v>
                </c:pt>
                <c:pt idx="6">
                  <c:v>2017-10-07 Sat</c:v>
                </c:pt>
                <c:pt idx="7">
                  <c:v>2017-10-08 Sun</c:v>
                </c:pt>
                <c:pt idx="8">
                  <c:v>2017-10-09 Mon</c:v>
                </c:pt>
                <c:pt idx="9">
                  <c:v>2017-10-10 Tue</c:v>
                </c:pt>
                <c:pt idx="10">
                  <c:v>2017-10-11 Wed</c:v>
                </c:pt>
                <c:pt idx="11">
                  <c:v>2017-10-12 Thu</c:v>
                </c:pt>
                <c:pt idx="12">
                  <c:v>2017-10-13 Fri</c:v>
                </c:pt>
                <c:pt idx="13">
                  <c:v>2017-10-14 Sat</c:v>
                </c:pt>
                <c:pt idx="14">
                  <c:v>2017-10-15 Sun</c:v>
                </c:pt>
                <c:pt idx="15">
                  <c:v>2017-10-16 Mon</c:v>
                </c:pt>
                <c:pt idx="16">
                  <c:v>2017-10-17 Tue</c:v>
                </c:pt>
                <c:pt idx="17">
                  <c:v>2017-10-18 Wed</c:v>
                </c:pt>
                <c:pt idx="18">
                  <c:v>2017-10-19 Thu</c:v>
                </c:pt>
                <c:pt idx="19">
                  <c:v>2017-10-20 Fri</c:v>
                </c:pt>
                <c:pt idx="20">
                  <c:v>2017-10-21 Sat</c:v>
                </c:pt>
                <c:pt idx="21">
                  <c:v>2017-10-22 Sun</c:v>
                </c:pt>
                <c:pt idx="22">
                  <c:v>2017-10-23 Mon</c:v>
                </c:pt>
                <c:pt idx="23">
                  <c:v>2017-10-24 Tue</c:v>
                </c:pt>
                <c:pt idx="24">
                  <c:v>2017-10-25 Wed</c:v>
                </c:pt>
                <c:pt idx="25">
                  <c:v>2017-10-26 Thu</c:v>
                </c:pt>
                <c:pt idx="26">
                  <c:v>2017-10-27 Fri</c:v>
                </c:pt>
                <c:pt idx="27">
                  <c:v>2017-10-28 Sat</c:v>
                </c:pt>
                <c:pt idx="28">
                  <c:v>2017-10-29 Sun</c:v>
                </c:pt>
                <c:pt idx="29">
                  <c:v>2017-10-30 Mon</c:v>
                </c:pt>
                <c:pt idx="30">
                  <c:v>2017-10-31 Tue</c:v>
                </c:pt>
              </c:strCache>
            </c:strRef>
          </c:xVal>
          <c:yVal>
            <c:numRef>
              <c:f>Forecast_Validation!$B$11:$AF$11</c:f>
              <c:numCache>
                <c:formatCode>0_);[Red]\(0\)</c:formatCode>
                <c:ptCount val="3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281184"/>
        <c:axId val="411281744"/>
      </c:scatterChart>
      <c:catAx>
        <c:axId val="411281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ysClr val="windowText" lastClr="000000"/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r>
                  <a:rPr lang="en-US" altLang="zh-CN" sz="800" b="1"/>
                  <a:t>Occupancy Date</a:t>
                </a:r>
                <a:endParaRPr lang="zh-CN" altLang="en-US" sz="800" b="1"/>
              </a:p>
            </c:rich>
          </c:tx>
          <c:layout>
            <c:manualLayout>
              <c:xMode val="edge"/>
              <c:yMode val="edge"/>
              <c:x val="0.45575675517397307"/>
              <c:y val="0.8944092799909332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ysClr val="windowText" lastClr="000000"/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0" spcFirstLastPara="1" vertOverflow="ellipsis" vert="eaVert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411281744"/>
        <c:crosses val="autoZero"/>
        <c:auto val="1"/>
        <c:lblAlgn val="ctr"/>
        <c:lblOffset val="100"/>
        <c:noMultiLvlLbl val="1"/>
      </c:catAx>
      <c:valAx>
        <c:axId val="41128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ysClr val="windowText" lastClr="000000"/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r>
                  <a:rPr lang="en-US" altLang="zh-CN" sz="800" b="1"/>
                  <a:t>Number of Rooms</a:t>
                </a:r>
                <a:endParaRPr lang="zh-CN" altLang="en-US" sz="800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ysClr val="windowText" lastClr="000000"/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+mn-cs"/>
                </a:defRPr>
              </a:pPr>
              <a:endParaRPr lang="zh-CN"/>
            </a:p>
          </c:txPr>
        </c:title>
        <c:numFmt formatCode="#,##0_);[Red]\(#,##0\)" sourceLinked="0"/>
        <c:majorTickMark val="in"/>
        <c:minorTickMark val="none"/>
        <c:tickLblPos val="nextTo"/>
        <c:spPr>
          <a:noFill/>
          <a:ln>
            <a:solidFill>
              <a:schemeClr val="bg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411281184"/>
        <c:crosses val="autoZero"/>
        <c:crossBetween val="between"/>
      </c:valAx>
      <c:valAx>
        <c:axId val="411282304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r>
                  <a:rPr lang="en-US" altLang="zh-CN"/>
                  <a:t>Value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+mn-cs"/>
                </a:defRPr>
              </a:pPr>
              <a:endParaRPr lang="zh-CN"/>
            </a:p>
          </c:txPr>
        </c:title>
        <c:numFmt formatCode="0_);[Red]\(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411282864"/>
        <c:crosses val="max"/>
        <c:crossBetween val="between"/>
      </c:valAx>
      <c:catAx>
        <c:axId val="4112828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1282304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7.8714769083479227E-2"/>
          <c:y val="0.94088907491236773"/>
          <c:w val="0.89999994989261989"/>
          <c:h val="5.69774928710880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微软雅黑" panose="020B0503020204020204" pitchFamily="34" charset="-122"/>
          <a:ea typeface="微软雅黑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7245406824147E-2"/>
          <c:y val="3.4970377449293398E-2"/>
          <c:w val="0.83409090543343745"/>
          <c:h val="0.64080412096914618"/>
        </c:manualLayout>
      </c:layout>
      <c:barChart>
        <c:barDir val="col"/>
        <c:grouping val="clustered"/>
        <c:varyColors val="0"/>
        <c:ser>
          <c:idx val="1"/>
          <c:order val="0"/>
          <c:tx>
            <c:v>TOTAL_Occ_P1</c:v>
          </c:tx>
          <c:spPr>
            <a:solidFill>
              <a:schemeClr val="accent5">
                <a:lumMod val="75000"/>
              </a:schemeClr>
            </a:solidFill>
            <a:ln w="12700">
              <a:solidFill>
                <a:schemeClr val="accent5">
                  <a:lumMod val="75000"/>
                </a:schemeClr>
              </a:solidFill>
            </a:ln>
            <a:effectLst/>
          </c:spPr>
          <c:invertIfNegative val="0"/>
          <c:cat>
            <c:strRef>
              <c:f>(DOW_Distribution!$B$3,DOW_Distribution!$D$3,DOW_Distribution!$F$3,DOW_Distribution!$H$3,DOW_Distribution!$J$3,DOW_Distribution!$L$3,DOW_Distribution!$N$3)</c:f>
              <c:strCache>
                <c:ptCount val="7"/>
                <c:pt idx="0">
                  <c:v>Mon</c:v>
                </c:pt>
                <c:pt idx="1">
                  <c:v>Tue</c:v>
                </c:pt>
                <c:pt idx="2">
                  <c:v>Wed</c:v>
                </c:pt>
                <c:pt idx="3">
                  <c:v>Thu</c:v>
                </c:pt>
                <c:pt idx="4">
                  <c:v>Fri</c:v>
                </c:pt>
                <c:pt idx="5">
                  <c:v>Sat</c:v>
                </c:pt>
                <c:pt idx="6">
                  <c:v>Sun</c:v>
                </c:pt>
              </c:strCache>
            </c:strRef>
          </c:cat>
          <c:val>
            <c:numRef>
              <c:f>(DOW_Distribution!$B$4,DOW_Distribution!$D$4,DOW_Distribution!$F$4,DOW_Distribution!$H$4,DOW_Distribution!$J$4,DOW_Distribution!$L$4,DOW_Distribution!$N$4)</c:f>
              <c:numCache>
                <c:formatCode>0.00%</c:formatCode>
                <c:ptCount val="7"/>
                <c:pt idx="0">
                  <c:v>0.15833333333333333</c:v>
                </c:pt>
                <c:pt idx="1">
                  <c:v>0.19166666666666668</c:v>
                </c:pt>
                <c:pt idx="2">
                  <c:v>0.36249999999999999</c:v>
                </c:pt>
                <c:pt idx="3">
                  <c:v>0.42916666666666664</c:v>
                </c:pt>
                <c:pt idx="4">
                  <c:v>0.42916666666666664</c:v>
                </c:pt>
                <c:pt idx="5">
                  <c:v>0.47083333333333333</c:v>
                </c:pt>
                <c:pt idx="6">
                  <c:v>0.28749999999999998</c:v>
                </c:pt>
              </c:numCache>
            </c:numRef>
          </c:val>
        </c:ser>
        <c:ser>
          <c:idx val="3"/>
          <c:order val="1"/>
          <c:tx>
            <c:v>TOTAL_Occ_P2</c:v>
          </c:tx>
          <c:spPr>
            <a:solidFill>
              <a:srgbClr val="FFC000"/>
            </a:solidFill>
            <a:ln>
              <a:solidFill>
                <a:srgbClr val="FFC000"/>
              </a:solidFill>
            </a:ln>
            <a:effectLst/>
          </c:spPr>
          <c:invertIfNegative val="0"/>
          <c:cat>
            <c:strRef>
              <c:f>(DOW_Distribution!$B$3,DOW_Distribution!$D$3,DOW_Distribution!$F$3,DOW_Distribution!$H$3,DOW_Distribution!$J$3,DOW_Distribution!$L$3,DOW_Distribution!$N$3)</c:f>
              <c:strCache>
                <c:ptCount val="7"/>
                <c:pt idx="0">
                  <c:v>Mon</c:v>
                </c:pt>
                <c:pt idx="1">
                  <c:v>Tue</c:v>
                </c:pt>
                <c:pt idx="2">
                  <c:v>Wed</c:v>
                </c:pt>
                <c:pt idx="3">
                  <c:v>Thu</c:v>
                </c:pt>
                <c:pt idx="4">
                  <c:v>Fri</c:v>
                </c:pt>
                <c:pt idx="5">
                  <c:v>Sat</c:v>
                </c:pt>
                <c:pt idx="6">
                  <c:v>Sun</c:v>
                </c:pt>
              </c:strCache>
            </c:strRef>
          </c:cat>
          <c:val>
            <c:numRef>
              <c:f>(DOW_Distribution!$C$4,DOW_Distribution!$E$4,DOW_Distribution!$G$4,DOW_Distribution!$I$4,DOW_Distribution!$K$4,DOW_Distribution!$M$4,DOW_Distribution!$O$4)</c:f>
              <c:numCache>
                <c:formatCode>0.00%</c:formatCode>
                <c:ptCount val="7"/>
                <c:pt idx="0">
                  <c:v>0.17499999999999999</c:v>
                </c:pt>
                <c:pt idx="1">
                  <c:v>0.28749999999999998</c:v>
                </c:pt>
                <c:pt idx="2">
                  <c:v>0.34166666666666667</c:v>
                </c:pt>
                <c:pt idx="3">
                  <c:v>0.26666666666666666</c:v>
                </c:pt>
                <c:pt idx="4">
                  <c:v>0.125</c:v>
                </c:pt>
                <c:pt idx="5">
                  <c:v>0.12083333333333333</c:v>
                </c:pt>
                <c:pt idx="6">
                  <c:v>8.3333333333333329E-2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407770576"/>
        <c:axId val="407771136"/>
      </c:barChart>
      <c:lineChart>
        <c:grouping val="standard"/>
        <c:varyColors val="0"/>
        <c:ser>
          <c:idx val="2"/>
          <c:order val="2"/>
          <c:tx>
            <c:v>TOTAL_ADR_P1</c:v>
          </c:tx>
          <c:spPr>
            <a:ln w="6350" cap="rnd">
              <a:solidFill>
                <a:srgbClr val="00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FF00"/>
              </a:solidFill>
              <a:ln w="6350">
                <a:solidFill>
                  <a:srgbClr val="00FF00"/>
                </a:solidFill>
              </a:ln>
              <a:effectLst/>
            </c:spPr>
          </c:marker>
          <c:cat>
            <c:strRef>
              <c:f>(DOW_Distribution!$B$3,DOW_Distribution!$D$3,DOW_Distribution!$F$3,DOW_Distribution!$H$3,DOW_Distribution!$J$3,DOW_Distribution!$L$3,DOW_Distribution!$N$3)</c:f>
              <c:strCache>
                <c:ptCount val="7"/>
                <c:pt idx="0">
                  <c:v>Mon</c:v>
                </c:pt>
                <c:pt idx="1">
                  <c:v>Tue</c:v>
                </c:pt>
                <c:pt idx="2">
                  <c:v>Wed</c:v>
                </c:pt>
                <c:pt idx="3">
                  <c:v>Thu</c:v>
                </c:pt>
                <c:pt idx="4">
                  <c:v>Fri</c:v>
                </c:pt>
                <c:pt idx="5">
                  <c:v>Sat</c:v>
                </c:pt>
                <c:pt idx="6">
                  <c:v>Sun</c:v>
                </c:pt>
              </c:strCache>
            </c:strRef>
          </c:cat>
          <c:val>
            <c:numRef>
              <c:f>(DOW_Distribution!$B$5,DOW_Distribution!$D$5,DOW_Distribution!$F$5,DOW_Distribution!$H$5,DOW_Distribution!$J$5,DOW_Distribution!$L$5,DOW_Distribution!$N$5)</c:f>
              <c:numCache>
                <c:formatCode>0.00_);[Red]\(0.00\)</c:formatCode>
                <c:ptCount val="7"/>
                <c:pt idx="0">
                  <c:v>1043.1015789473684</c:v>
                </c:pt>
                <c:pt idx="1">
                  <c:v>1149.1647826086958</c:v>
                </c:pt>
                <c:pt idx="2">
                  <c:v>861.63873563218397</c:v>
                </c:pt>
                <c:pt idx="3">
                  <c:v>925.17058252427194</c:v>
                </c:pt>
                <c:pt idx="4">
                  <c:v>1021.5754368932039</c:v>
                </c:pt>
                <c:pt idx="5">
                  <c:v>1048.1623008849558</c:v>
                </c:pt>
                <c:pt idx="6">
                  <c:v>932.1037681159421</c:v>
                </c:pt>
              </c:numCache>
            </c:numRef>
          </c:val>
          <c:smooth val="0"/>
        </c:ser>
        <c:ser>
          <c:idx val="4"/>
          <c:order val="3"/>
          <c:tx>
            <c:v>TOTAL_ADR_P2</c:v>
          </c:tx>
          <c:spPr>
            <a:ln w="6350" cap="rnd">
              <a:solidFill>
                <a:srgbClr val="00FF0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rgbClr val="00FF00"/>
              </a:solidFill>
              <a:ln w="6350">
                <a:solidFill>
                  <a:srgbClr val="00FF00"/>
                </a:solidFill>
                <a:prstDash val="dash"/>
              </a:ln>
              <a:effectLst/>
            </c:spPr>
          </c:marker>
          <c:cat>
            <c:strRef>
              <c:f>(DOW_Distribution!$B$3,DOW_Distribution!$D$3,DOW_Distribution!$F$3,DOW_Distribution!$H$3,DOW_Distribution!$J$3,DOW_Distribution!$L$3,DOW_Distribution!$N$3)</c:f>
              <c:strCache>
                <c:ptCount val="7"/>
                <c:pt idx="0">
                  <c:v>Mon</c:v>
                </c:pt>
                <c:pt idx="1">
                  <c:v>Tue</c:v>
                </c:pt>
                <c:pt idx="2">
                  <c:v>Wed</c:v>
                </c:pt>
                <c:pt idx="3">
                  <c:v>Thu</c:v>
                </c:pt>
                <c:pt idx="4">
                  <c:v>Fri</c:v>
                </c:pt>
                <c:pt idx="5">
                  <c:v>Sat</c:v>
                </c:pt>
                <c:pt idx="6">
                  <c:v>Sun</c:v>
                </c:pt>
              </c:strCache>
            </c:strRef>
          </c:cat>
          <c:val>
            <c:numRef>
              <c:f>(DOW_Distribution!$C$5,DOW_Distribution!$E$5,DOW_Distribution!$G$5,DOW_Distribution!$I$5,DOW_Distribution!$K$5,DOW_Distribution!$M$5,DOW_Distribution!$O$5)</c:f>
              <c:numCache>
                <c:formatCode>0.00_);[Red]\(0.00\)</c:formatCode>
                <c:ptCount val="7"/>
                <c:pt idx="0">
                  <c:v>850.48261904761898</c:v>
                </c:pt>
                <c:pt idx="1">
                  <c:v>881.77811594202899</c:v>
                </c:pt>
                <c:pt idx="2">
                  <c:v>863.09134146341466</c:v>
                </c:pt>
                <c:pt idx="3">
                  <c:v>808.24796875000004</c:v>
                </c:pt>
                <c:pt idx="4">
                  <c:v>708.37166666666667</c:v>
                </c:pt>
                <c:pt idx="5">
                  <c:v>879.03655172413801</c:v>
                </c:pt>
                <c:pt idx="6">
                  <c:v>918.43500000000006</c:v>
                </c:pt>
              </c:numCache>
            </c:numRef>
          </c:val>
          <c:smooth val="0"/>
        </c:ser>
        <c:ser>
          <c:idx val="0"/>
          <c:order val="4"/>
          <c:tx>
            <c:v>TOTAL_RevPAR_P1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strRef>
              <c:f>(DOW_Distribution!$B$3,DOW_Distribution!$D$3,DOW_Distribution!$F$3,DOW_Distribution!$H$3,DOW_Distribution!$J$3,DOW_Distribution!$L$3,DOW_Distribution!$N$3)</c:f>
              <c:strCache>
                <c:ptCount val="7"/>
                <c:pt idx="0">
                  <c:v>Mon</c:v>
                </c:pt>
                <c:pt idx="1">
                  <c:v>Tue</c:v>
                </c:pt>
                <c:pt idx="2">
                  <c:v>Wed</c:v>
                </c:pt>
                <c:pt idx="3">
                  <c:v>Thu</c:v>
                </c:pt>
                <c:pt idx="4">
                  <c:v>Fri</c:v>
                </c:pt>
                <c:pt idx="5">
                  <c:v>Sat</c:v>
                </c:pt>
                <c:pt idx="6">
                  <c:v>Sun</c:v>
                </c:pt>
              </c:strCache>
            </c:strRef>
          </c:cat>
          <c:val>
            <c:numRef>
              <c:f>(DOW_Distribution!$B$6,DOW_Distribution!$D$6,DOW_Distribution!$F$6,DOW_Distribution!$H$6,DOW_Distribution!$J$6,DOW_Distribution!$L$6,DOW_Distribution!$N$6)</c:f>
              <c:numCache>
                <c:formatCode>0.00_);[Red]\(0.00\)</c:formatCode>
                <c:ptCount val="7"/>
                <c:pt idx="0">
                  <c:v>165.15774999999999</c:v>
                </c:pt>
                <c:pt idx="1">
                  <c:v>220.25658333333334</c:v>
                </c:pt>
                <c:pt idx="2">
                  <c:v>312.34404166666667</c:v>
                </c:pt>
                <c:pt idx="3">
                  <c:v>397.05237500000004</c:v>
                </c:pt>
                <c:pt idx="4">
                  <c:v>438.42612500000001</c:v>
                </c:pt>
                <c:pt idx="5">
                  <c:v>493.50975</c:v>
                </c:pt>
                <c:pt idx="6">
                  <c:v>267.97983333333337</c:v>
                </c:pt>
              </c:numCache>
            </c:numRef>
          </c:val>
          <c:smooth val="0"/>
        </c:ser>
        <c:ser>
          <c:idx val="5"/>
          <c:order val="5"/>
          <c:tx>
            <c:v>TOTAL_RevPAR_P2</c:v>
          </c:tx>
          <c:spPr>
            <a:ln w="63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dash"/>
              </a:ln>
              <a:effectLst/>
            </c:spPr>
          </c:marker>
          <c:cat>
            <c:strRef>
              <c:f>(DOW_Distribution!$B$3,DOW_Distribution!$D$3,DOW_Distribution!$F$3,DOW_Distribution!$H$3,DOW_Distribution!$J$3,DOW_Distribution!$L$3,DOW_Distribution!$N$3)</c:f>
              <c:strCache>
                <c:ptCount val="7"/>
                <c:pt idx="0">
                  <c:v>Mon</c:v>
                </c:pt>
                <c:pt idx="1">
                  <c:v>Tue</c:v>
                </c:pt>
                <c:pt idx="2">
                  <c:v>Wed</c:v>
                </c:pt>
                <c:pt idx="3">
                  <c:v>Thu</c:v>
                </c:pt>
                <c:pt idx="4">
                  <c:v>Fri</c:v>
                </c:pt>
                <c:pt idx="5">
                  <c:v>Sat</c:v>
                </c:pt>
                <c:pt idx="6">
                  <c:v>Sun</c:v>
                </c:pt>
              </c:strCache>
            </c:strRef>
          </c:cat>
          <c:val>
            <c:numRef>
              <c:f>(DOW_Distribution!$C$6,DOW_Distribution!$E$6,DOW_Distribution!$G$6,DOW_Distribution!$I$6,DOW_Distribution!$K$6,DOW_Distribution!$M$6,DOW_Distribution!$O$6)</c:f>
              <c:numCache>
                <c:formatCode>0.00_);[Red]\(0.00\)</c:formatCode>
                <c:ptCount val="7"/>
                <c:pt idx="0">
                  <c:v>148.83445833333332</c:v>
                </c:pt>
                <c:pt idx="1">
                  <c:v>253.51120833333334</c:v>
                </c:pt>
                <c:pt idx="2">
                  <c:v>294.88954166666667</c:v>
                </c:pt>
                <c:pt idx="3">
                  <c:v>215.53279166666667</c:v>
                </c:pt>
                <c:pt idx="4">
                  <c:v>88.546458333333334</c:v>
                </c:pt>
                <c:pt idx="5">
                  <c:v>106.21691666666668</c:v>
                </c:pt>
                <c:pt idx="6">
                  <c:v>76.53625000000001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772256"/>
        <c:axId val="407771696"/>
      </c:lineChart>
      <c:catAx>
        <c:axId val="407770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r>
                  <a:rPr lang="en-US" altLang="zh-CN" sz="900" b="1"/>
                  <a:t>Day</a:t>
                </a:r>
                <a:r>
                  <a:rPr lang="en-US" altLang="zh-CN" sz="900" b="1" baseline="0"/>
                  <a:t> of Week</a:t>
                </a:r>
                <a:endParaRPr lang="zh-CN" altLang="en-US" sz="900" b="1"/>
              </a:p>
            </c:rich>
          </c:tx>
          <c:layout>
            <c:manualLayout>
              <c:xMode val="edge"/>
              <c:yMode val="edge"/>
              <c:x val="0.4416325612512963"/>
              <c:y val="0.793960139849861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407771136"/>
        <c:crosses val="autoZero"/>
        <c:auto val="1"/>
        <c:lblAlgn val="ctr"/>
        <c:lblOffset val="100"/>
        <c:noMultiLvlLbl val="1"/>
      </c:catAx>
      <c:valAx>
        <c:axId val="40777113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ysClr val="windowText" lastClr="000000"/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r>
                  <a:rPr lang="en-US" altLang="zh-CN" sz="800" b="1"/>
                  <a:t>Occ</a:t>
                </a:r>
                <a:endParaRPr lang="zh-CN" altLang="en-US" sz="800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ysClr val="windowText" lastClr="000000"/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+mn-cs"/>
                </a:defRPr>
              </a:pPr>
              <a:endParaRPr lang="zh-CN"/>
            </a:p>
          </c:txPr>
        </c:title>
        <c:numFmt formatCode="0%" sourceLinked="0"/>
        <c:majorTickMark val="in"/>
        <c:minorTickMark val="none"/>
        <c:tickLblPos val="nextTo"/>
        <c:spPr>
          <a:noFill/>
          <a:ln>
            <a:solidFill>
              <a:schemeClr val="bg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407770576"/>
        <c:crosses val="autoZero"/>
        <c:crossBetween val="between"/>
      </c:valAx>
      <c:valAx>
        <c:axId val="40777169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 algn="ctr" rtl="0">
                  <a:defRPr lang="en-US" altLang="zh-CN" sz="800" b="1" i="0" u="none" strike="noStrike" kern="1200" baseline="0">
                    <a:solidFill>
                      <a:sysClr val="windowText" lastClr="000000"/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r>
                  <a:rPr lang="en-US" altLang="zh-CN" sz="800" b="1" i="0" u="none" strike="noStrike" kern="1200" baseline="0">
                    <a:solidFill>
                      <a:sysClr val="windowText" lastClr="000000"/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rPr>
                  <a:t>ADR/RevPAR(CNY)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 algn="ctr" rtl="0">
                <a:defRPr lang="en-US" altLang="zh-CN" sz="800" b="1" i="0" u="none" strike="noStrike" kern="1200" baseline="0">
                  <a:solidFill>
                    <a:sysClr val="windowText" lastClr="000000"/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+mn-cs"/>
                </a:defRPr>
              </a:pPr>
              <a:endParaRPr lang="zh-CN"/>
            </a:p>
          </c:txPr>
        </c:title>
        <c:numFmt formatCode="#,##0_);[Red]\(#,##0\)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407772256"/>
        <c:crosses val="max"/>
        <c:crossBetween val="between"/>
      </c:valAx>
      <c:catAx>
        <c:axId val="4077722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07771696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6512922175086042"/>
          <c:y val="0.89443489063605375"/>
          <c:w val="0.64226111751676707"/>
          <c:h val="0.102000293414758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微软雅黑" panose="020B0503020204020204" pitchFamily="34" charset="-122"/>
          <a:ea typeface="微软雅黑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7245406824147E-2"/>
          <c:y val="3.4970377449293398E-2"/>
          <c:w val="0.83409090543343745"/>
          <c:h val="0.64080412096914618"/>
        </c:manualLayout>
      </c:layout>
      <c:barChart>
        <c:barDir val="col"/>
        <c:grouping val="clustered"/>
        <c:varyColors val="0"/>
        <c:ser>
          <c:idx val="1"/>
          <c:order val="0"/>
          <c:tx>
            <c:v>TRANS_Occ_P1</c:v>
          </c:tx>
          <c:spPr>
            <a:solidFill>
              <a:schemeClr val="accent5">
                <a:lumMod val="75000"/>
              </a:schemeClr>
            </a:solidFill>
            <a:ln w="12700">
              <a:solidFill>
                <a:schemeClr val="accent5">
                  <a:lumMod val="75000"/>
                </a:schemeClr>
              </a:solidFill>
            </a:ln>
            <a:effectLst/>
          </c:spPr>
          <c:invertIfNegative val="0"/>
          <c:cat>
            <c:strRef>
              <c:f>(DOW_Distribution!$B$3,DOW_Distribution!$D$3,DOW_Distribution!$F$3,DOW_Distribution!$H$3,DOW_Distribution!$J$3,DOW_Distribution!$L$3,DOW_Distribution!$N$3)</c:f>
              <c:strCache>
                <c:ptCount val="7"/>
                <c:pt idx="0">
                  <c:v>Mon</c:v>
                </c:pt>
                <c:pt idx="1">
                  <c:v>Tue</c:v>
                </c:pt>
                <c:pt idx="2">
                  <c:v>Wed</c:v>
                </c:pt>
                <c:pt idx="3">
                  <c:v>Thu</c:v>
                </c:pt>
                <c:pt idx="4">
                  <c:v>Fri</c:v>
                </c:pt>
                <c:pt idx="5">
                  <c:v>Sat</c:v>
                </c:pt>
                <c:pt idx="6">
                  <c:v>Sun</c:v>
                </c:pt>
              </c:strCache>
            </c:strRef>
          </c:cat>
          <c:val>
            <c:numRef>
              <c:f>(DOW_Distribution!$B$7,DOW_Distribution!$D$7,DOW_Distribution!$F$7,DOW_Distribution!$H$7,DOW_Distribution!$J$7,DOW_Distribution!$L$7,DOW_Distribution!$N$7)</c:f>
              <c:numCache>
                <c:formatCode>0.00%</c:formatCode>
                <c:ptCount val="7"/>
                <c:pt idx="0">
                  <c:v>0.15833333333333333</c:v>
                </c:pt>
                <c:pt idx="1">
                  <c:v>0.1875</c:v>
                </c:pt>
                <c:pt idx="2">
                  <c:v>0.25</c:v>
                </c:pt>
                <c:pt idx="3">
                  <c:v>0.31666666666666665</c:v>
                </c:pt>
                <c:pt idx="4">
                  <c:v>0.42916666666666664</c:v>
                </c:pt>
                <c:pt idx="5">
                  <c:v>0.47083333333333333</c:v>
                </c:pt>
                <c:pt idx="6">
                  <c:v>0.27916666666666667</c:v>
                </c:pt>
              </c:numCache>
            </c:numRef>
          </c:val>
        </c:ser>
        <c:ser>
          <c:idx val="3"/>
          <c:order val="1"/>
          <c:tx>
            <c:v>TRANS_Occ_P2</c:v>
          </c:tx>
          <c:spPr>
            <a:solidFill>
              <a:srgbClr val="FFC000"/>
            </a:solidFill>
            <a:ln>
              <a:solidFill>
                <a:srgbClr val="FFC000"/>
              </a:solidFill>
            </a:ln>
            <a:effectLst/>
          </c:spPr>
          <c:invertIfNegative val="0"/>
          <c:cat>
            <c:strRef>
              <c:f>(DOW_Distribution!$B$3,DOW_Distribution!$D$3,DOW_Distribution!$F$3,DOW_Distribution!$H$3,DOW_Distribution!$J$3,DOW_Distribution!$L$3,DOW_Distribution!$N$3)</c:f>
              <c:strCache>
                <c:ptCount val="7"/>
                <c:pt idx="0">
                  <c:v>Mon</c:v>
                </c:pt>
                <c:pt idx="1">
                  <c:v>Tue</c:v>
                </c:pt>
                <c:pt idx="2">
                  <c:v>Wed</c:v>
                </c:pt>
                <c:pt idx="3">
                  <c:v>Thu</c:v>
                </c:pt>
                <c:pt idx="4">
                  <c:v>Fri</c:v>
                </c:pt>
                <c:pt idx="5">
                  <c:v>Sat</c:v>
                </c:pt>
                <c:pt idx="6">
                  <c:v>Sun</c:v>
                </c:pt>
              </c:strCache>
            </c:strRef>
          </c:cat>
          <c:val>
            <c:numRef>
              <c:f>(DOW_Distribution!$C$7,DOW_Distribution!$E$7,DOW_Distribution!$G$7,DOW_Distribution!$I$7,DOW_Distribution!$K$7,DOW_Distribution!$M$7,DOW_Distribution!$O$7)</c:f>
              <c:numCache>
                <c:formatCode>0.00%</c:formatCode>
                <c:ptCount val="7"/>
                <c:pt idx="0">
                  <c:v>0.15833333333333333</c:v>
                </c:pt>
                <c:pt idx="1">
                  <c:v>0.1875</c:v>
                </c:pt>
                <c:pt idx="2">
                  <c:v>0.16666666666666666</c:v>
                </c:pt>
                <c:pt idx="3">
                  <c:v>0.125</c:v>
                </c:pt>
                <c:pt idx="4">
                  <c:v>0.1125</c:v>
                </c:pt>
                <c:pt idx="5">
                  <c:v>0.12083333333333333</c:v>
                </c:pt>
                <c:pt idx="6">
                  <c:v>8.3333333333333329E-2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412051824"/>
        <c:axId val="412052384"/>
      </c:barChart>
      <c:lineChart>
        <c:grouping val="standard"/>
        <c:varyColors val="0"/>
        <c:ser>
          <c:idx val="2"/>
          <c:order val="2"/>
          <c:tx>
            <c:v>TRANS_ADR_P1</c:v>
          </c:tx>
          <c:spPr>
            <a:ln w="6350" cap="rnd">
              <a:solidFill>
                <a:srgbClr val="00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FF00"/>
              </a:solidFill>
              <a:ln w="6350">
                <a:solidFill>
                  <a:srgbClr val="00FF00"/>
                </a:solidFill>
              </a:ln>
              <a:effectLst/>
            </c:spPr>
          </c:marker>
          <c:cat>
            <c:strRef>
              <c:f>(DOW_Distribution!$B$3,DOW_Distribution!$D$3,DOW_Distribution!$F$3,DOW_Distribution!$H$3,DOW_Distribution!$J$3,DOW_Distribution!$L$3,DOW_Distribution!$N$3)</c:f>
              <c:strCache>
                <c:ptCount val="7"/>
                <c:pt idx="0">
                  <c:v>Mon</c:v>
                </c:pt>
                <c:pt idx="1">
                  <c:v>Tue</c:v>
                </c:pt>
                <c:pt idx="2">
                  <c:v>Wed</c:v>
                </c:pt>
                <c:pt idx="3">
                  <c:v>Thu</c:v>
                </c:pt>
                <c:pt idx="4">
                  <c:v>Fri</c:v>
                </c:pt>
                <c:pt idx="5">
                  <c:v>Sat</c:v>
                </c:pt>
                <c:pt idx="6">
                  <c:v>Sun</c:v>
                </c:pt>
              </c:strCache>
            </c:strRef>
          </c:cat>
          <c:val>
            <c:numRef>
              <c:f>(DOW_Distribution!$B$8,DOW_Distribution!$D$8,DOW_Distribution!$F$8,DOW_Distribution!$H$8,DOW_Distribution!$J$8,DOW_Distribution!$L$8,DOW_Distribution!$N$8)</c:f>
              <c:numCache>
                <c:formatCode>0.00_);[Red]\(0.00\)</c:formatCode>
                <c:ptCount val="7"/>
                <c:pt idx="0">
                  <c:v>1043.0999999999999</c:v>
                </c:pt>
                <c:pt idx="1">
                  <c:v>1160.72</c:v>
                </c:pt>
                <c:pt idx="2">
                  <c:v>933.94</c:v>
                </c:pt>
                <c:pt idx="3">
                  <c:v>1000.7599999999999</c:v>
                </c:pt>
                <c:pt idx="4">
                  <c:v>1018.49</c:v>
                </c:pt>
                <c:pt idx="5">
                  <c:v>1048.1600000000001</c:v>
                </c:pt>
                <c:pt idx="6">
                  <c:v>940.72</c:v>
                </c:pt>
              </c:numCache>
            </c:numRef>
          </c:val>
          <c:smooth val="0"/>
        </c:ser>
        <c:ser>
          <c:idx val="4"/>
          <c:order val="3"/>
          <c:tx>
            <c:v>TRANS_ADR_P2</c:v>
          </c:tx>
          <c:spPr>
            <a:ln w="6350" cap="rnd">
              <a:solidFill>
                <a:srgbClr val="00FF0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rgbClr val="00FF00"/>
              </a:solidFill>
              <a:ln w="6350">
                <a:solidFill>
                  <a:srgbClr val="00FF00"/>
                </a:solidFill>
                <a:prstDash val="dash"/>
              </a:ln>
              <a:effectLst/>
            </c:spPr>
          </c:marker>
          <c:cat>
            <c:strRef>
              <c:f>(DOW_Distribution!$B$3,DOW_Distribution!$D$3,DOW_Distribution!$F$3,DOW_Distribution!$H$3,DOW_Distribution!$J$3,DOW_Distribution!$L$3,DOW_Distribution!$N$3)</c:f>
              <c:strCache>
                <c:ptCount val="7"/>
                <c:pt idx="0">
                  <c:v>Mon</c:v>
                </c:pt>
                <c:pt idx="1">
                  <c:v>Tue</c:v>
                </c:pt>
                <c:pt idx="2">
                  <c:v>Wed</c:v>
                </c:pt>
                <c:pt idx="3">
                  <c:v>Thu</c:v>
                </c:pt>
                <c:pt idx="4">
                  <c:v>Fri</c:v>
                </c:pt>
                <c:pt idx="5">
                  <c:v>Sat</c:v>
                </c:pt>
                <c:pt idx="6">
                  <c:v>Sun</c:v>
                </c:pt>
              </c:strCache>
            </c:strRef>
          </c:cat>
          <c:val>
            <c:numRef>
              <c:f>(DOW_Distribution!$C$8,DOW_Distribution!$E$8,DOW_Distribution!$G$8,DOW_Distribution!$I$8,DOW_Distribution!$K$8,DOW_Distribution!$M$8,DOW_Distribution!$O$8)</c:f>
              <c:numCache>
                <c:formatCode>0.00_);[Red]\(0.00\)</c:formatCode>
                <c:ptCount val="7"/>
                <c:pt idx="0">
                  <c:v>870.03</c:v>
                </c:pt>
                <c:pt idx="1">
                  <c:v>956.24</c:v>
                </c:pt>
                <c:pt idx="2">
                  <c:v>944.54</c:v>
                </c:pt>
                <c:pt idx="3">
                  <c:v>826.58</c:v>
                </c:pt>
                <c:pt idx="4">
                  <c:v>702.9</c:v>
                </c:pt>
                <c:pt idx="5">
                  <c:v>879.04</c:v>
                </c:pt>
                <c:pt idx="6">
                  <c:v>918.44000000000017</c:v>
                </c:pt>
              </c:numCache>
            </c:numRef>
          </c:val>
          <c:smooth val="0"/>
        </c:ser>
        <c:ser>
          <c:idx val="0"/>
          <c:order val="4"/>
          <c:tx>
            <c:v>TRANS_RevPAR_P1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strRef>
              <c:f>(DOW_Distribution!$B$3,DOW_Distribution!$D$3,DOW_Distribution!$F$3,DOW_Distribution!$H$3,DOW_Distribution!$J$3,DOW_Distribution!$L$3,DOW_Distribution!$N$3)</c:f>
              <c:strCache>
                <c:ptCount val="7"/>
                <c:pt idx="0">
                  <c:v>Mon</c:v>
                </c:pt>
                <c:pt idx="1">
                  <c:v>Tue</c:v>
                </c:pt>
                <c:pt idx="2">
                  <c:v>Wed</c:v>
                </c:pt>
                <c:pt idx="3">
                  <c:v>Thu</c:v>
                </c:pt>
                <c:pt idx="4">
                  <c:v>Fri</c:v>
                </c:pt>
                <c:pt idx="5">
                  <c:v>Sat</c:v>
                </c:pt>
                <c:pt idx="6">
                  <c:v>Sun</c:v>
                </c:pt>
              </c:strCache>
            </c:strRef>
          </c:cat>
          <c:val>
            <c:numRef>
              <c:f>(DOW_Distribution!$B$9,DOW_Distribution!$D$9,DOW_Distribution!$F$9,DOW_Distribution!$H$9,DOW_Distribution!$J$9,DOW_Distribution!$L$9,DOW_Distribution!$N$9)</c:f>
              <c:numCache>
                <c:formatCode>0.00_);[Red]\(0.00\)</c:formatCode>
                <c:ptCount val="7"/>
                <c:pt idx="0">
                  <c:v>165.15749999999997</c:v>
                </c:pt>
                <c:pt idx="1">
                  <c:v>217.63500000000002</c:v>
                </c:pt>
                <c:pt idx="2">
                  <c:v>233.48500000000001</c:v>
                </c:pt>
                <c:pt idx="3">
                  <c:v>316.90733333333333</c:v>
                </c:pt>
                <c:pt idx="4">
                  <c:v>437.10195833333336</c:v>
                </c:pt>
                <c:pt idx="5">
                  <c:v>493.50866666666673</c:v>
                </c:pt>
                <c:pt idx="6">
                  <c:v>262.61766666666671</c:v>
                </c:pt>
              </c:numCache>
            </c:numRef>
          </c:val>
          <c:smooth val="0"/>
        </c:ser>
        <c:ser>
          <c:idx val="5"/>
          <c:order val="5"/>
          <c:tx>
            <c:v>TRANS_RevPAR_P2</c:v>
          </c:tx>
          <c:spPr>
            <a:ln w="63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dash"/>
              </a:ln>
              <a:effectLst/>
            </c:spPr>
          </c:marker>
          <c:cat>
            <c:strRef>
              <c:f>(DOW_Distribution!$B$3,DOW_Distribution!$D$3,DOW_Distribution!$F$3,DOW_Distribution!$H$3,DOW_Distribution!$J$3,DOW_Distribution!$L$3,DOW_Distribution!$N$3)</c:f>
              <c:strCache>
                <c:ptCount val="7"/>
                <c:pt idx="0">
                  <c:v>Mon</c:v>
                </c:pt>
                <c:pt idx="1">
                  <c:v>Tue</c:v>
                </c:pt>
                <c:pt idx="2">
                  <c:v>Wed</c:v>
                </c:pt>
                <c:pt idx="3">
                  <c:v>Thu</c:v>
                </c:pt>
                <c:pt idx="4">
                  <c:v>Fri</c:v>
                </c:pt>
                <c:pt idx="5">
                  <c:v>Sat</c:v>
                </c:pt>
                <c:pt idx="6">
                  <c:v>Sun</c:v>
                </c:pt>
              </c:strCache>
            </c:strRef>
          </c:cat>
          <c:val>
            <c:numRef>
              <c:f>(DOW_Distribution!$C$9,DOW_Distribution!$E$9,DOW_Distribution!$G$9,DOW_Distribution!$I$9,DOW_Distribution!$K$9,DOW_Distribution!$M$9,DOW_Distribution!$O$9)</c:f>
              <c:numCache>
                <c:formatCode>0.00_);[Red]\(0.00\)</c:formatCode>
                <c:ptCount val="7"/>
                <c:pt idx="0">
                  <c:v>137.75475</c:v>
                </c:pt>
                <c:pt idx="1">
                  <c:v>179.29500000000002</c:v>
                </c:pt>
                <c:pt idx="2">
                  <c:v>157.42333333333332</c:v>
                </c:pt>
                <c:pt idx="3">
                  <c:v>103.32250000000001</c:v>
                </c:pt>
                <c:pt idx="4">
                  <c:v>79.076250000000002</c:v>
                </c:pt>
                <c:pt idx="5">
                  <c:v>106.21733333333333</c:v>
                </c:pt>
                <c:pt idx="6">
                  <c:v>76.536666666666676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053504"/>
        <c:axId val="412052944"/>
      </c:lineChart>
      <c:catAx>
        <c:axId val="4120518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r>
                  <a:rPr lang="en-US" altLang="zh-CN" sz="900" b="1"/>
                  <a:t>Day</a:t>
                </a:r>
                <a:r>
                  <a:rPr lang="en-US" altLang="zh-CN" sz="900" b="1" baseline="0"/>
                  <a:t> of Week</a:t>
                </a:r>
                <a:endParaRPr lang="zh-CN" altLang="en-US" sz="900" b="1"/>
              </a:p>
            </c:rich>
          </c:tx>
          <c:layout>
            <c:manualLayout>
              <c:xMode val="edge"/>
              <c:yMode val="edge"/>
              <c:x val="0.4432992274805177"/>
              <c:y val="0.7858441955980908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412052384"/>
        <c:crosses val="autoZero"/>
        <c:auto val="1"/>
        <c:lblAlgn val="ctr"/>
        <c:lblOffset val="100"/>
        <c:noMultiLvlLbl val="1"/>
      </c:catAx>
      <c:valAx>
        <c:axId val="412052384"/>
        <c:scaling>
          <c:orientation val="minMax"/>
          <c:max val="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ysClr val="windowText" lastClr="000000"/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r>
                  <a:rPr lang="en-US" altLang="zh-CN" sz="800" b="1"/>
                  <a:t>Occ</a:t>
                </a:r>
                <a:endParaRPr lang="zh-CN" altLang="en-US" sz="800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ysClr val="windowText" lastClr="000000"/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+mn-cs"/>
                </a:defRPr>
              </a:pPr>
              <a:endParaRPr lang="zh-CN"/>
            </a:p>
          </c:txPr>
        </c:title>
        <c:numFmt formatCode="0%" sourceLinked="0"/>
        <c:majorTickMark val="in"/>
        <c:minorTickMark val="none"/>
        <c:tickLblPos val="nextTo"/>
        <c:spPr>
          <a:noFill/>
          <a:ln>
            <a:solidFill>
              <a:schemeClr val="bg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412051824"/>
        <c:crosses val="autoZero"/>
        <c:crossBetween val="between"/>
      </c:valAx>
      <c:valAx>
        <c:axId val="412052944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 algn="ctr" rtl="0">
                  <a:defRPr lang="en-US" altLang="zh-CN" sz="800" b="1" i="0" u="none" strike="noStrike" kern="1200" baseline="0">
                    <a:solidFill>
                      <a:sysClr val="windowText" lastClr="000000"/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r>
                  <a:rPr lang="en-US" altLang="zh-CN" sz="800" b="1" i="0" u="none" strike="noStrike" kern="1200" baseline="0">
                    <a:solidFill>
                      <a:sysClr val="windowText" lastClr="000000"/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rPr>
                  <a:t>ADR/RevPAR(CNY)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 algn="ctr" rtl="0">
                <a:defRPr lang="en-US" altLang="zh-CN" sz="800" b="1" i="0" u="none" strike="noStrike" kern="1200" baseline="0">
                  <a:solidFill>
                    <a:sysClr val="windowText" lastClr="000000"/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+mn-cs"/>
                </a:defRPr>
              </a:pPr>
              <a:endParaRPr lang="zh-CN"/>
            </a:p>
          </c:txPr>
        </c:title>
        <c:numFmt formatCode="#,##0_);[Red]\(#,##0\)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412053504"/>
        <c:crosses val="max"/>
        <c:crossBetween val="between"/>
      </c:valAx>
      <c:catAx>
        <c:axId val="4120535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052944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6512922175086042"/>
          <c:y val="0.89443489063605375"/>
          <c:w val="0.64226111751676707"/>
          <c:h val="0.102000293414758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微软雅黑" panose="020B0503020204020204" pitchFamily="34" charset="-122"/>
          <a:ea typeface="微软雅黑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7245406824147E-2"/>
          <c:y val="3.4970377449293398E-2"/>
          <c:w val="0.83409090543343745"/>
          <c:h val="0.64080412096914618"/>
        </c:manualLayout>
      </c:layout>
      <c:barChart>
        <c:barDir val="col"/>
        <c:grouping val="clustered"/>
        <c:varyColors val="0"/>
        <c:ser>
          <c:idx val="1"/>
          <c:order val="0"/>
          <c:tx>
            <c:v>GROUP_Occ_P1</c:v>
          </c:tx>
          <c:spPr>
            <a:solidFill>
              <a:schemeClr val="accent5">
                <a:lumMod val="75000"/>
              </a:schemeClr>
            </a:solidFill>
            <a:ln w="12700">
              <a:solidFill>
                <a:schemeClr val="accent5">
                  <a:lumMod val="75000"/>
                </a:schemeClr>
              </a:solidFill>
            </a:ln>
            <a:effectLst/>
          </c:spPr>
          <c:invertIfNegative val="0"/>
          <c:cat>
            <c:strRef>
              <c:f>(DOW_Distribution!$B$3,DOW_Distribution!$D$3,DOW_Distribution!$F$3,DOW_Distribution!$H$3,DOW_Distribution!$J$3,DOW_Distribution!$L$3,DOW_Distribution!$N$3)</c:f>
              <c:strCache>
                <c:ptCount val="7"/>
                <c:pt idx="0">
                  <c:v>Mon</c:v>
                </c:pt>
                <c:pt idx="1">
                  <c:v>Tue</c:v>
                </c:pt>
                <c:pt idx="2">
                  <c:v>Wed</c:v>
                </c:pt>
                <c:pt idx="3">
                  <c:v>Thu</c:v>
                </c:pt>
                <c:pt idx="4">
                  <c:v>Fri</c:v>
                </c:pt>
                <c:pt idx="5">
                  <c:v>Sat</c:v>
                </c:pt>
                <c:pt idx="6">
                  <c:v>Sun</c:v>
                </c:pt>
              </c:strCache>
            </c:strRef>
          </c:cat>
          <c:val>
            <c:numRef>
              <c:f>(DOW_Distribution!$B$10,DOW_Distribution!$D$10,DOW_Distribution!$F$10,DOW_Distribution!$H$10,DOW_Distribution!$J$10,DOW_Distribution!$L$10,DOW_Distribution!$N$10)</c:f>
              <c:numCache>
                <c:formatCode>0.00%</c:formatCode>
                <c:ptCount val="7"/>
                <c:pt idx="0">
                  <c:v>0</c:v>
                </c:pt>
                <c:pt idx="1">
                  <c:v>4.1666666666666666E-3</c:v>
                </c:pt>
                <c:pt idx="2">
                  <c:v>0.1125</c:v>
                </c:pt>
                <c:pt idx="3">
                  <c:v>0.1125</c:v>
                </c:pt>
                <c:pt idx="4">
                  <c:v>0</c:v>
                </c:pt>
                <c:pt idx="5">
                  <c:v>0</c:v>
                </c:pt>
                <c:pt idx="6">
                  <c:v>8.3333333333333332E-3</c:v>
                </c:pt>
              </c:numCache>
            </c:numRef>
          </c:val>
        </c:ser>
        <c:ser>
          <c:idx val="3"/>
          <c:order val="1"/>
          <c:tx>
            <c:v>GROUP_Occ_P2</c:v>
          </c:tx>
          <c:spPr>
            <a:solidFill>
              <a:srgbClr val="FFC000"/>
            </a:solidFill>
            <a:ln>
              <a:solidFill>
                <a:srgbClr val="FFC000"/>
              </a:solidFill>
            </a:ln>
            <a:effectLst/>
          </c:spPr>
          <c:invertIfNegative val="0"/>
          <c:cat>
            <c:strRef>
              <c:f>(DOW_Distribution!$B$3,DOW_Distribution!$D$3,DOW_Distribution!$F$3,DOW_Distribution!$H$3,DOW_Distribution!$J$3,DOW_Distribution!$L$3,DOW_Distribution!$N$3)</c:f>
              <c:strCache>
                <c:ptCount val="7"/>
                <c:pt idx="0">
                  <c:v>Mon</c:v>
                </c:pt>
                <c:pt idx="1">
                  <c:v>Tue</c:v>
                </c:pt>
                <c:pt idx="2">
                  <c:v>Wed</c:v>
                </c:pt>
                <c:pt idx="3">
                  <c:v>Thu</c:v>
                </c:pt>
                <c:pt idx="4">
                  <c:v>Fri</c:v>
                </c:pt>
                <c:pt idx="5">
                  <c:v>Sat</c:v>
                </c:pt>
                <c:pt idx="6">
                  <c:v>Sun</c:v>
                </c:pt>
              </c:strCache>
            </c:strRef>
          </c:cat>
          <c:val>
            <c:numRef>
              <c:f>(DOW_Distribution!$C$10,DOW_Distribution!$E$10,DOW_Distribution!$G$10,DOW_Distribution!$I$10,DOW_Distribution!$K$10,DOW_Distribution!$M$10,DOW_Distribution!$O$10)</c:f>
              <c:numCache>
                <c:formatCode>0.00%</c:formatCode>
                <c:ptCount val="7"/>
                <c:pt idx="0">
                  <c:v>1.6666666666666666E-2</c:v>
                </c:pt>
                <c:pt idx="1">
                  <c:v>0.1</c:v>
                </c:pt>
                <c:pt idx="2">
                  <c:v>0.17499999999999999</c:v>
                </c:pt>
                <c:pt idx="3">
                  <c:v>0.14166666666666666</c:v>
                </c:pt>
                <c:pt idx="4">
                  <c:v>1.2500000000000001E-2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412124992"/>
        <c:axId val="412125552"/>
      </c:barChart>
      <c:lineChart>
        <c:grouping val="standard"/>
        <c:varyColors val="0"/>
        <c:ser>
          <c:idx val="2"/>
          <c:order val="2"/>
          <c:tx>
            <c:v>GROUP_ADR_P1</c:v>
          </c:tx>
          <c:spPr>
            <a:ln w="6350" cap="rnd">
              <a:solidFill>
                <a:srgbClr val="00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FF00"/>
              </a:solidFill>
              <a:ln w="6350">
                <a:solidFill>
                  <a:srgbClr val="00FF00"/>
                </a:solidFill>
              </a:ln>
              <a:effectLst/>
            </c:spPr>
          </c:marker>
          <c:cat>
            <c:strRef>
              <c:f>(DOW_Distribution!$B$3,DOW_Distribution!$D$3,DOW_Distribution!$F$3,DOW_Distribution!$H$3,DOW_Distribution!$J$3,DOW_Distribution!$L$3,DOW_Distribution!$N$3)</c:f>
              <c:strCache>
                <c:ptCount val="7"/>
                <c:pt idx="0">
                  <c:v>Mon</c:v>
                </c:pt>
                <c:pt idx="1">
                  <c:v>Tue</c:v>
                </c:pt>
                <c:pt idx="2">
                  <c:v>Wed</c:v>
                </c:pt>
                <c:pt idx="3">
                  <c:v>Thu</c:v>
                </c:pt>
                <c:pt idx="4">
                  <c:v>Fri</c:v>
                </c:pt>
                <c:pt idx="5">
                  <c:v>Sat</c:v>
                </c:pt>
                <c:pt idx="6">
                  <c:v>Sun</c:v>
                </c:pt>
              </c:strCache>
            </c:strRef>
          </c:cat>
          <c:val>
            <c:numRef>
              <c:f>(DOW_Distribution!$B$11,DOW_Distribution!$D$11,DOW_Distribution!$F$11,DOW_Distribution!$H$11,DOW_Distribution!$J$11,DOW_Distribution!$L$11,DOW_Distribution!$N$11)</c:f>
              <c:numCache>
                <c:formatCode>0.00_);[Red]\(0.00\)</c:formatCode>
                <c:ptCount val="7"/>
                <c:pt idx="1">
                  <c:v>628.99</c:v>
                </c:pt>
                <c:pt idx="2">
                  <c:v>700.96</c:v>
                </c:pt>
                <c:pt idx="3">
                  <c:v>712.41</c:v>
                </c:pt>
                <c:pt idx="6">
                  <c:v>643.30999999999995</c:v>
                </c:pt>
              </c:numCache>
            </c:numRef>
          </c:val>
          <c:smooth val="0"/>
        </c:ser>
        <c:ser>
          <c:idx val="4"/>
          <c:order val="3"/>
          <c:tx>
            <c:v>GROUP_ADR_P2</c:v>
          </c:tx>
          <c:spPr>
            <a:ln w="6350" cap="rnd">
              <a:solidFill>
                <a:srgbClr val="00FF0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rgbClr val="00FF00"/>
              </a:solidFill>
              <a:ln w="6350">
                <a:solidFill>
                  <a:srgbClr val="00FF00"/>
                </a:solidFill>
                <a:prstDash val="dash"/>
              </a:ln>
              <a:effectLst/>
            </c:spPr>
          </c:marker>
          <c:cat>
            <c:strRef>
              <c:f>(DOW_Distribution!$B$3,DOW_Distribution!$D$3,DOW_Distribution!$F$3,DOW_Distribution!$H$3,DOW_Distribution!$J$3,DOW_Distribution!$L$3,DOW_Distribution!$N$3)</c:f>
              <c:strCache>
                <c:ptCount val="7"/>
                <c:pt idx="0">
                  <c:v>Mon</c:v>
                </c:pt>
                <c:pt idx="1">
                  <c:v>Tue</c:v>
                </c:pt>
                <c:pt idx="2">
                  <c:v>Wed</c:v>
                </c:pt>
                <c:pt idx="3">
                  <c:v>Thu</c:v>
                </c:pt>
                <c:pt idx="4">
                  <c:v>Fri</c:v>
                </c:pt>
                <c:pt idx="5">
                  <c:v>Sat</c:v>
                </c:pt>
                <c:pt idx="6">
                  <c:v>Sun</c:v>
                </c:pt>
              </c:strCache>
            </c:strRef>
          </c:cat>
          <c:val>
            <c:numRef>
              <c:f>(DOW_Distribution!$C$11,DOW_Distribution!$E$11,DOW_Distribution!$G$11,DOW_Distribution!$I$11,DOW_Distribution!$K$11,DOW_Distribution!$M$11,DOW_Distribution!$O$11)</c:f>
              <c:numCache>
                <c:formatCode>0.00_);[Red]\(0.00\)</c:formatCode>
                <c:ptCount val="7"/>
                <c:pt idx="0">
                  <c:v>664.75</c:v>
                </c:pt>
                <c:pt idx="1">
                  <c:v>742.16</c:v>
                </c:pt>
                <c:pt idx="2">
                  <c:v>785.51999999999987</c:v>
                </c:pt>
                <c:pt idx="3">
                  <c:v>792.08</c:v>
                </c:pt>
                <c:pt idx="4">
                  <c:v>757.64</c:v>
                </c:pt>
              </c:numCache>
            </c:numRef>
          </c:val>
          <c:smooth val="0"/>
        </c:ser>
        <c:ser>
          <c:idx val="0"/>
          <c:order val="4"/>
          <c:tx>
            <c:v>GROUP_RevPAR_P1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strRef>
              <c:f>(DOW_Distribution!$B$3,DOW_Distribution!$D$3,DOW_Distribution!$F$3,DOW_Distribution!$H$3,DOW_Distribution!$J$3,DOW_Distribution!$L$3,DOW_Distribution!$N$3)</c:f>
              <c:strCache>
                <c:ptCount val="7"/>
                <c:pt idx="0">
                  <c:v>Mon</c:v>
                </c:pt>
                <c:pt idx="1">
                  <c:v>Tue</c:v>
                </c:pt>
                <c:pt idx="2">
                  <c:v>Wed</c:v>
                </c:pt>
                <c:pt idx="3">
                  <c:v>Thu</c:v>
                </c:pt>
                <c:pt idx="4">
                  <c:v>Fri</c:v>
                </c:pt>
                <c:pt idx="5">
                  <c:v>Sat</c:v>
                </c:pt>
                <c:pt idx="6">
                  <c:v>Sun</c:v>
                </c:pt>
              </c:strCache>
            </c:strRef>
          </c:cat>
          <c:val>
            <c:numRef>
              <c:f>(DOW_Distribution!$B$12,DOW_Distribution!$D$12,DOW_Distribution!$F$12,DOW_Distribution!$H$12,DOW_Distribution!$J$12,DOW_Distribution!$L$12,DOW_Distribution!$N$12)</c:f>
              <c:numCache>
                <c:formatCode>0.00_);[Red]\(0.00\)</c:formatCode>
                <c:ptCount val="7"/>
                <c:pt idx="0">
                  <c:v>0</c:v>
                </c:pt>
                <c:pt idx="1">
                  <c:v>2.6207916666666669</c:v>
                </c:pt>
                <c:pt idx="2">
                  <c:v>78.858000000000004</c:v>
                </c:pt>
                <c:pt idx="3">
                  <c:v>80.146124999999998</c:v>
                </c:pt>
                <c:pt idx="4">
                  <c:v>0</c:v>
                </c:pt>
                <c:pt idx="5">
                  <c:v>0</c:v>
                </c:pt>
                <c:pt idx="6">
                  <c:v>5.3609166666666663</c:v>
                </c:pt>
              </c:numCache>
            </c:numRef>
          </c:val>
          <c:smooth val="0"/>
        </c:ser>
        <c:ser>
          <c:idx val="5"/>
          <c:order val="5"/>
          <c:tx>
            <c:v>GROUP_RevPAR_P2</c:v>
          </c:tx>
          <c:spPr>
            <a:ln w="63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dash"/>
              </a:ln>
              <a:effectLst/>
            </c:spPr>
          </c:marker>
          <c:cat>
            <c:strRef>
              <c:f>(DOW_Distribution!$B$3,DOW_Distribution!$D$3,DOW_Distribution!$F$3,DOW_Distribution!$H$3,DOW_Distribution!$J$3,DOW_Distribution!$L$3,DOW_Distribution!$N$3)</c:f>
              <c:strCache>
                <c:ptCount val="7"/>
                <c:pt idx="0">
                  <c:v>Mon</c:v>
                </c:pt>
                <c:pt idx="1">
                  <c:v>Tue</c:v>
                </c:pt>
                <c:pt idx="2">
                  <c:v>Wed</c:v>
                </c:pt>
                <c:pt idx="3">
                  <c:v>Thu</c:v>
                </c:pt>
                <c:pt idx="4">
                  <c:v>Fri</c:v>
                </c:pt>
                <c:pt idx="5">
                  <c:v>Sat</c:v>
                </c:pt>
                <c:pt idx="6">
                  <c:v>Sun</c:v>
                </c:pt>
              </c:strCache>
            </c:strRef>
          </c:cat>
          <c:val>
            <c:numRef>
              <c:f>(DOW_Distribution!$C$12,DOW_Distribution!$E$12,DOW_Distribution!$G$12,DOW_Distribution!$I$12,DOW_Distribution!$K$12,DOW_Distribution!$M$12,DOW_Distribution!$O$12)</c:f>
              <c:numCache>
                <c:formatCode>0.00_);[Red]\(0.00\)</c:formatCode>
                <c:ptCount val="7"/>
                <c:pt idx="0">
                  <c:v>11.079166666666667</c:v>
                </c:pt>
                <c:pt idx="1">
                  <c:v>74.215999999999994</c:v>
                </c:pt>
                <c:pt idx="2">
                  <c:v>137.46599999999998</c:v>
                </c:pt>
                <c:pt idx="3">
                  <c:v>112.21133333333334</c:v>
                </c:pt>
                <c:pt idx="4">
                  <c:v>9.4704999999999995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126672"/>
        <c:axId val="412126112"/>
      </c:lineChart>
      <c:catAx>
        <c:axId val="4121249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r>
                  <a:rPr lang="en-US" altLang="zh-CN" sz="900" b="1"/>
                  <a:t>Day</a:t>
                </a:r>
                <a:r>
                  <a:rPr lang="en-US" altLang="zh-CN" sz="900" b="1" baseline="0"/>
                  <a:t> of Week</a:t>
                </a:r>
                <a:endParaRPr lang="zh-CN" altLang="en-US" sz="900" b="1"/>
              </a:p>
            </c:rich>
          </c:tx>
          <c:layout>
            <c:manualLayout>
              <c:xMode val="edge"/>
              <c:yMode val="edge"/>
              <c:x val="0.4432992274805177"/>
              <c:y val="0.7858441955980908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412125552"/>
        <c:crosses val="autoZero"/>
        <c:auto val="1"/>
        <c:lblAlgn val="ctr"/>
        <c:lblOffset val="100"/>
        <c:noMultiLvlLbl val="1"/>
      </c:catAx>
      <c:valAx>
        <c:axId val="412125552"/>
        <c:scaling>
          <c:orientation val="minMax"/>
          <c:max val="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ysClr val="windowText" lastClr="000000"/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r>
                  <a:rPr lang="en-US" altLang="zh-CN" sz="800" b="1"/>
                  <a:t>Occ</a:t>
                </a:r>
                <a:endParaRPr lang="zh-CN" altLang="en-US" sz="800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ysClr val="windowText" lastClr="000000"/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+mn-cs"/>
                </a:defRPr>
              </a:pPr>
              <a:endParaRPr lang="zh-CN"/>
            </a:p>
          </c:txPr>
        </c:title>
        <c:numFmt formatCode="0%" sourceLinked="0"/>
        <c:majorTickMark val="in"/>
        <c:minorTickMark val="none"/>
        <c:tickLblPos val="nextTo"/>
        <c:spPr>
          <a:noFill/>
          <a:ln>
            <a:solidFill>
              <a:schemeClr val="bg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412124992"/>
        <c:crosses val="autoZero"/>
        <c:crossBetween val="between"/>
      </c:valAx>
      <c:valAx>
        <c:axId val="41212611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 algn="ctr" rtl="0">
                  <a:defRPr lang="en-US" altLang="zh-CN" sz="800" b="1" i="0" u="none" strike="noStrike" kern="1200" baseline="0">
                    <a:solidFill>
                      <a:sysClr val="windowText" lastClr="000000"/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r>
                  <a:rPr lang="en-US" altLang="zh-CN" sz="800" b="1" i="0" u="none" strike="noStrike" kern="1200" baseline="0">
                    <a:solidFill>
                      <a:sysClr val="windowText" lastClr="000000"/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rPr>
                  <a:t>ADR/RevPAR(CNY)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 algn="ctr" rtl="0">
                <a:defRPr lang="en-US" altLang="zh-CN" sz="800" b="1" i="0" u="none" strike="noStrike" kern="1200" baseline="0">
                  <a:solidFill>
                    <a:sysClr val="windowText" lastClr="000000"/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+mn-cs"/>
                </a:defRPr>
              </a:pPr>
              <a:endParaRPr lang="zh-CN"/>
            </a:p>
          </c:txPr>
        </c:title>
        <c:numFmt formatCode="#,##0_);[Red]\(#,##0\)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412126672"/>
        <c:crosses val="max"/>
        <c:crossBetween val="between"/>
      </c:valAx>
      <c:catAx>
        <c:axId val="4121266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126112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6512922175086042"/>
          <c:y val="0.89443489063605375"/>
          <c:w val="0.64226111751676707"/>
          <c:h val="0.102000293414758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微软雅黑" panose="020B0503020204020204" pitchFamily="34" charset="-122"/>
          <a:ea typeface="微软雅黑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fmlaLink="$D$1" fmlaRange="Config!$B$1:$B$66" noThreeD="1" sel="1" val="57"/>
</file>

<file path=xl/ctrlProps/ctrlProp3.xml><?xml version="1.0" encoding="utf-8"?>
<formControlPr xmlns="http://schemas.microsoft.com/office/spreadsheetml/2009/9/main" objectType="Drop" dropStyle="combo" dx="16" fmlaLink="$I$1" fmlaRange="Config!$C$1:$C$12" noThreeD="1" sel="10" val="4"/>
</file>

<file path=xl/ctrlProps/ctrlProp4.xml><?xml version="1.0" encoding="utf-8"?>
<formControlPr xmlns="http://schemas.microsoft.com/office/spreadsheetml/2009/9/main" objectType="Drop" dropStyle="combo" dx="16" fmlaLink="A_Glance!$D$1" fmlaRange="Config!$B$1:$B$66" noThreeD="1" sel="1" val="10"/>
</file>

<file path=xl/ctrlProps/ctrlProp5.xml><?xml version="1.0" encoding="utf-8"?>
<formControlPr xmlns="http://schemas.microsoft.com/office/spreadsheetml/2009/9/main" objectType="Drop" dropStyle="combo" dx="16" fmlaLink="A_Glance!$I$1" fmlaRange="Config!$C$1:$C$12" noThreeD="1" sel="10" val="4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16" fmlaLink="A_Glance!$D$1" fmlaRange="Config!$B$1:$B$66" noThreeD="1" sel="1" val="58"/>
</file>

<file path=xl/ctrlProps/ctrlProp8.xml><?xml version="1.0" encoding="utf-8"?>
<formControlPr xmlns="http://schemas.microsoft.com/office/spreadsheetml/2009/9/main" objectType="Drop" dropStyle="combo" dx="16" fmlaLink="A_Glance!$I$1" fmlaRange="Config!$C$1:$C$12" noThreeD="1" sel="10" val="4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Drop" dropStyle="combo" dx="16" fmlaLink="A_Glance!$D$1" fmlaRange="Config!$B$1:$B$66" noThreeD="1" sel="1" val="0"/>
</file>

<file path=xl/ctrlProps/ctrlProp11.xml><?xml version="1.0" encoding="utf-8"?>
<formControlPr xmlns="http://schemas.microsoft.com/office/spreadsheetml/2009/9/main" objectType="Drop" dropStyle="combo" dx="16" fmlaLink="A_Glance!$I$1" fmlaRange="Config!$C$1:$C$12" noThreeD="1" sel="10" val="4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Drop" dropStyle="combo" dx="16" fmlaLink="A_Glance!$D$1" fmlaRange="Config!$B$1:$B$66" noThreeD="1" sel="1" val="0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0</xdr:rowOff>
        </xdr:from>
        <xdr:to>
          <xdr:col>13</xdr:col>
          <xdr:colOff>523875</xdr:colOff>
          <xdr:row>0</xdr:row>
          <xdr:rowOff>219075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92849</xdr:colOff>
      <xdr:row>7</xdr:row>
      <xdr:rowOff>56029</xdr:rowOff>
    </xdr:from>
    <xdr:to>
      <xdr:col>23</xdr:col>
      <xdr:colOff>92848</xdr:colOff>
      <xdr:row>29</xdr:row>
      <xdr:rowOff>123265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9525</xdr:rowOff>
        </xdr:from>
        <xdr:to>
          <xdr:col>6</xdr:col>
          <xdr:colOff>523875</xdr:colOff>
          <xdr:row>0</xdr:row>
          <xdr:rowOff>228600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</xdr:colOff>
          <xdr:row>0</xdr:row>
          <xdr:rowOff>9525</xdr:rowOff>
        </xdr:from>
        <xdr:to>
          <xdr:col>9</xdr:col>
          <xdr:colOff>9525</xdr:colOff>
          <xdr:row>0</xdr:row>
          <xdr:rowOff>219075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9525</xdr:rowOff>
        </xdr:from>
        <xdr:to>
          <xdr:col>6</xdr:col>
          <xdr:colOff>533400</xdr:colOff>
          <xdr:row>0</xdr:row>
          <xdr:rowOff>228600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</xdr:colOff>
          <xdr:row>0</xdr:row>
          <xdr:rowOff>9525</xdr:rowOff>
        </xdr:from>
        <xdr:to>
          <xdr:col>9</xdr:col>
          <xdr:colOff>9525</xdr:colOff>
          <xdr:row>0</xdr:row>
          <xdr:rowOff>228600</xdr:rowOff>
        </xdr:to>
        <xdr:sp macro="" textlink="">
          <xdr:nvSpPr>
            <xdr:cNvPr id="3074" name="Drop Dow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0</xdr:rowOff>
        </xdr:from>
        <xdr:to>
          <xdr:col>13</xdr:col>
          <xdr:colOff>523875</xdr:colOff>
          <xdr:row>0</xdr:row>
          <xdr:rowOff>219075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</xdr:colOff>
      <xdr:row>12</xdr:row>
      <xdr:rowOff>0</xdr:rowOff>
    </xdr:from>
    <xdr:to>
      <xdr:col>15</xdr:col>
      <xdr:colOff>1</xdr:colOff>
      <xdr:row>31</xdr:row>
      <xdr:rowOff>156883</xdr:rowOff>
    </xdr:to>
    <xdr:graphicFrame macro="">
      <xdr:nvGraphicFramePr>
        <xdr:cNvPr id="5" name="图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40821</xdr:colOff>
      <xdr:row>12</xdr:row>
      <xdr:rowOff>0</xdr:rowOff>
    </xdr:from>
    <xdr:to>
      <xdr:col>30</xdr:col>
      <xdr:colOff>40821</xdr:colOff>
      <xdr:row>31</xdr:row>
      <xdr:rowOff>156883</xdr:rowOff>
    </xdr:to>
    <xdr:graphicFrame macro="">
      <xdr:nvGraphicFramePr>
        <xdr:cNvPr id="6" name="图表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-1</xdr:colOff>
      <xdr:row>17</xdr:row>
      <xdr:rowOff>-1</xdr:rowOff>
    </xdr:from>
    <xdr:to>
      <xdr:col>15</xdr:col>
      <xdr:colOff>403908</xdr:colOff>
      <xdr:row>37</xdr:row>
      <xdr:rowOff>149999</xdr:rowOff>
    </xdr:to>
    <xdr:graphicFrame macro="">
      <xdr:nvGraphicFramePr>
        <xdr:cNvPr id="5" name="图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19790</xdr:colOff>
      <xdr:row>16</xdr:row>
      <xdr:rowOff>190498</xdr:rowOff>
    </xdr:from>
    <xdr:to>
      <xdr:col>30</xdr:col>
      <xdr:colOff>319790</xdr:colOff>
      <xdr:row>37</xdr:row>
      <xdr:rowOff>149998</xdr:rowOff>
    </xdr:to>
    <xdr:graphicFrame macro="">
      <xdr:nvGraphicFramePr>
        <xdr:cNvPr id="8" name="图表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91848</xdr:colOff>
      <xdr:row>17</xdr:row>
      <xdr:rowOff>397</xdr:rowOff>
    </xdr:from>
    <xdr:to>
      <xdr:col>15</xdr:col>
      <xdr:colOff>495757</xdr:colOff>
      <xdr:row>37</xdr:row>
      <xdr:rowOff>150397</xdr:rowOff>
    </xdr:to>
    <xdr:graphicFrame macro="">
      <xdr:nvGraphicFramePr>
        <xdr:cNvPr id="7" name="图表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449036</xdr:colOff>
      <xdr:row>17</xdr:row>
      <xdr:rowOff>-1</xdr:rowOff>
    </xdr:from>
    <xdr:to>
      <xdr:col>30</xdr:col>
      <xdr:colOff>204751</xdr:colOff>
      <xdr:row>37</xdr:row>
      <xdr:rowOff>149999</xdr:rowOff>
    </xdr:to>
    <xdr:graphicFrame macro="">
      <xdr:nvGraphicFramePr>
        <xdr:cNvPr id="9" name="图表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9525</xdr:rowOff>
        </xdr:from>
        <xdr:to>
          <xdr:col>6</xdr:col>
          <xdr:colOff>523875</xdr:colOff>
          <xdr:row>0</xdr:row>
          <xdr:rowOff>228600</xdr:rowOff>
        </xdr:to>
        <xdr:sp macro="" textlink="">
          <xdr:nvSpPr>
            <xdr:cNvPr id="5121" name="Drop Dow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542925</xdr:colOff>
          <xdr:row>0</xdr:row>
          <xdr:rowOff>9525</xdr:rowOff>
        </xdr:from>
        <xdr:to>
          <xdr:col>8</xdr:col>
          <xdr:colOff>533400</xdr:colOff>
          <xdr:row>0</xdr:row>
          <xdr:rowOff>228600</xdr:rowOff>
        </xdr:to>
        <xdr:sp macro="" textlink="">
          <xdr:nvSpPr>
            <xdr:cNvPr id="5122" name="Drop Dow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0</xdr:rowOff>
        </xdr:from>
        <xdr:to>
          <xdr:col>13</xdr:col>
          <xdr:colOff>523875</xdr:colOff>
          <xdr:row>0</xdr:row>
          <xdr:rowOff>219075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9525</xdr:rowOff>
        </xdr:from>
        <xdr:to>
          <xdr:col>6</xdr:col>
          <xdr:colOff>504825</xdr:colOff>
          <xdr:row>0</xdr:row>
          <xdr:rowOff>228600</xdr:rowOff>
        </xdr:to>
        <xdr:sp macro="" textlink="">
          <xdr:nvSpPr>
            <xdr:cNvPr id="9217" name="Drop Dow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514350</xdr:colOff>
          <xdr:row>0</xdr:row>
          <xdr:rowOff>9525</xdr:rowOff>
        </xdr:from>
        <xdr:to>
          <xdr:col>8</xdr:col>
          <xdr:colOff>504825</xdr:colOff>
          <xdr:row>0</xdr:row>
          <xdr:rowOff>228600</xdr:rowOff>
        </xdr:to>
        <xdr:sp macro="" textlink="">
          <xdr:nvSpPr>
            <xdr:cNvPr id="9218" name="Drop Dow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0</xdr:rowOff>
        </xdr:from>
        <xdr:to>
          <xdr:col>13</xdr:col>
          <xdr:colOff>523875</xdr:colOff>
          <xdr:row>0</xdr:row>
          <xdr:rowOff>219075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12</xdr:row>
      <xdr:rowOff>0</xdr:rowOff>
    </xdr:from>
    <xdr:to>
      <xdr:col>22</xdr:col>
      <xdr:colOff>517070</xdr:colOff>
      <xdr:row>32</xdr:row>
      <xdr:rowOff>148879</xdr:rowOff>
    </xdr:to>
    <xdr:graphicFrame macro="">
      <xdr:nvGraphicFramePr>
        <xdr:cNvPr id="5" name="图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0</xdr:rowOff>
        </xdr:from>
        <xdr:to>
          <xdr:col>6</xdr:col>
          <xdr:colOff>409575</xdr:colOff>
          <xdr:row>0</xdr:row>
          <xdr:rowOff>219075</xdr:rowOff>
        </xdr:to>
        <xdr:sp macro="" textlink="">
          <xdr:nvSpPr>
            <xdr:cNvPr id="12289" name="Drop Dow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523875</xdr:colOff>
          <xdr:row>0</xdr:row>
          <xdr:rowOff>0</xdr:rowOff>
        </xdr:from>
        <xdr:to>
          <xdr:col>19</xdr:col>
          <xdr:colOff>495300</xdr:colOff>
          <xdr:row>0</xdr:row>
          <xdr:rowOff>219075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1197427</xdr:colOff>
      <xdr:row>12</xdr:row>
      <xdr:rowOff>122466</xdr:rowOff>
    </xdr:from>
    <xdr:to>
      <xdr:col>14</xdr:col>
      <xdr:colOff>0</xdr:colOff>
      <xdr:row>29</xdr:row>
      <xdr:rowOff>13608</xdr:rowOff>
    </xdr:to>
    <xdr:graphicFrame macro="">
      <xdr:nvGraphicFramePr>
        <xdr:cNvPr id="4" name="图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204107</xdr:colOff>
      <xdr:row>12</xdr:row>
      <xdr:rowOff>122464</xdr:rowOff>
    </xdr:from>
    <xdr:to>
      <xdr:col>27</xdr:col>
      <xdr:colOff>217717</xdr:colOff>
      <xdr:row>29</xdr:row>
      <xdr:rowOff>13606</xdr:rowOff>
    </xdr:to>
    <xdr:graphicFrame macro="">
      <xdr:nvGraphicFramePr>
        <xdr:cNvPr id="5" name="图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32</xdr:row>
      <xdr:rowOff>0</xdr:rowOff>
    </xdr:from>
    <xdr:to>
      <xdr:col>14</xdr:col>
      <xdr:colOff>13609</xdr:colOff>
      <xdr:row>48</xdr:row>
      <xdr:rowOff>81642</xdr:rowOff>
    </xdr:to>
    <xdr:graphicFrame macro="">
      <xdr:nvGraphicFramePr>
        <xdr:cNvPr id="6" name="图表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75"/>
  <sheetViews>
    <sheetView zoomScale="70" zoomScaleNormal="70" workbookViewId="0">
      <selection activeCell="A9" sqref="A9"/>
    </sheetView>
  </sheetViews>
  <sheetFormatPr defaultRowHeight="13.5" x14ac:dyDescent="0.15"/>
  <cols>
    <col min="1" max="1" width="15.875" style="7" customWidth="1"/>
    <col min="2" max="32" width="7.125" style="7" customWidth="1"/>
    <col min="33" max="64" width="10.625" style="7" customWidth="1"/>
    <col min="65" max="16384" width="9" style="7"/>
  </cols>
  <sheetData>
    <row r="1" spans="1:32" s="1" customFormat="1" ht="20.100000000000001" customHeight="1" thickBot="1" x14ac:dyDescent="0.2">
      <c r="A1" s="19">
        <v>43024</v>
      </c>
      <c r="D1" s="1">
        <v>1</v>
      </c>
      <c r="E1" s="18" t="str">
        <f>VLOOKUP(D1,Config!$A$1:$B$65,2,FALSE)</f>
        <v>Wanda Reign Chengdu</v>
      </c>
      <c r="F1" s="17"/>
      <c r="G1" s="17"/>
      <c r="H1" s="22">
        <v>2017</v>
      </c>
      <c r="I1" s="17">
        <v>10</v>
      </c>
      <c r="J1" s="17"/>
      <c r="K1" s="17"/>
      <c r="L1" s="4"/>
      <c r="M1" s="4"/>
      <c r="N1" s="17"/>
      <c r="O1" s="17"/>
    </row>
    <row r="2" spans="1:32" s="1" customFormat="1" ht="15" customHeight="1" thickBot="1" x14ac:dyDescent="0.2"/>
    <row r="3" spans="1:32" ht="19.5" x14ac:dyDescent="0.15">
      <c r="A3" s="6" t="s">
        <v>70</v>
      </c>
      <c r="B3" s="15" t="s">
        <v>75</v>
      </c>
      <c r="C3" s="15" t="s">
        <v>76</v>
      </c>
      <c r="D3" s="15" t="s">
        <v>77</v>
      </c>
      <c r="E3" s="15" t="s">
        <v>78</v>
      </c>
      <c r="F3" s="15" t="s">
        <v>79</v>
      </c>
      <c r="G3" s="15" t="s">
        <v>80</v>
      </c>
      <c r="H3" s="15" t="s">
        <v>81</v>
      </c>
      <c r="I3" s="15" t="s">
        <v>82</v>
      </c>
      <c r="J3" s="15" t="s">
        <v>83</v>
      </c>
      <c r="K3" s="15" t="s">
        <v>84</v>
      </c>
      <c r="L3" s="15" t="s">
        <v>85</v>
      </c>
      <c r="M3" s="15" t="s">
        <v>86</v>
      </c>
      <c r="N3" s="15" t="s">
        <v>87</v>
      </c>
      <c r="O3" s="15" t="s">
        <v>88</v>
      </c>
      <c r="P3" s="15" t="s">
        <v>89</v>
      </c>
      <c r="Q3" s="15" t="s">
        <v>90</v>
      </c>
      <c r="R3" s="15" t="s">
        <v>91</v>
      </c>
      <c r="S3" s="15" t="s">
        <v>92</v>
      </c>
      <c r="T3" s="15" t="s">
        <v>93</v>
      </c>
      <c r="U3" s="15" t="s">
        <v>94</v>
      </c>
      <c r="V3" s="15" t="s">
        <v>95</v>
      </c>
      <c r="W3" s="15" t="s">
        <v>96</v>
      </c>
      <c r="X3" s="15" t="s">
        <v>97</v>
      </c>
      <c r="Y3" s="15" t="s">
        <v>98</v>
      </c>
      <c r="Z3" s="15" t="s">
        <v>99</v>
      </c>
      <c r="AA3" s="15" t="s">
        <v>100</v>
      </c>
      <c r="AB3" s="15" t="s">
        <v>101</v>
      </c>
      <c r="AC3" s="15" t="s">
        <v>102</v>
      </c>
      <c r="AD3" s="15" t="s">
        <v>103</v>
      </c>
      <c r="AE3" s="15" t="s">
        <v>104</v>
      </c>
      <c r="AF3" s="16" t="s">
        <v>105</v>
      </c>
    </row>
    <row r="4" spans="1:32" ht="15" customHeight="1" x14ac:dyDescent="0.15">
      <c r="A4" s="2" t="s">
        <v>67</v>
      </c>
      <c r="B4" s="5">
        <v>0.72083333333333333</v>
      </c>
      <c r="C4" s="5">
        <v>0.95</v>
      </c>
      <c r="D4" s="5">
        <v>1</v>
      </c>
      <c r="E4" s="5">
        <v>0.9916666666666667</v>
      </c>
      <c r="F4" s="5">
        <v>0.95</v>
      </c>
      <c r="G4" s="5">
        <v>0.82916666666666672</v>
      </c>
      <c r="H4" s="5">
        <v>0.5708333333333333</v>
      </c>
      <c r="I4" s="5">
        <v>0.24166666666666667</v>
      </c>
      <c r="J4" s="5">
        <v>0.15833333333333333</v>
      </c>
      <c r="K4" s="5">
        <v>0.19166666666666668</v>
      </c>
      <c r="L4" s="5">
        <v>0.36249999999999999</v>
      </c>
      <c r="M4" s="5">
        <v>0.42916666666666664</v>
      </c>
      <c r="N4" s="5">
        <v>0.42916666666666664</v>
      </c>
      <c r="O4" s="5">
        <v>0.47083333333333333</v>
      </c>
      <c r="P4" s="5">
        <v>0.28749999999999998</v>
      </c>
      <c r="Q4" s="5">
        <v>0.17499999999999999</v>
      </c>
      <c r="R4" s="5">
        <v>0.28749999999999998</v>
      </c>
      <c r="S4" s="5">
        <v>0.34166666666666667</v>
      </c>
      <c r="T4" s="5">
        <v>0.26666666666666666</v>
      </c>
      <c r="U4" s="5">
        <v>0.125</v>
      </c>
      <c r="V4" s="5">
        <v>0.12083333333333333</v>
      </c>
      <c r="W4" s="5">
        <v>8.3333333333333329E-2</v>
      </c>
      <c r="X4" s="5">
        <v>5.4166666666666669E-2</v>
      </c>
      <c r="Y4" s="5">
        <v>6.25E-2</v>
      </c>
      <c r="Z4" s="5">
        <v>0.1</v>
      </c>
      <c r="AA4" s="5">
        <v>0.10416666666666667</v>
      </c>
      <c r="AB4" s="5">
        <v>6.25E-2</v>
      </c>
      <c r="AC4" s="5">
        <v>3.7499999999999999E-2</v>
      </c>
      <c r="AD4" s="5">
        <v>8.3333333333333332E-3</v>
      </c>
      <c r="AE4" s="5">
        <v>8.3333333333333332E-3</v>
      </c>
      <c r="AF4" s="12">
        <v>8.3333333333333332E-3</v>
      </c>
    </row>
    <row r="5" spans="1:32" ht="15" customHeight="1" x14ac:dyDescent="0.15">
      <c r="A5" s="2" t="s">
        <v>66</v>
      </c>
      <c r="B5" s="5">
        <v>0.67083333333333328</v>
      </c>
      <c r="C5" s="5">
        <v>0.9375</v>
      </c>
      <c r="D5" s="5">
        <v>1</v>
      </c>
      <c r="E5" s="5">
        <v>0.98750000000000004</v>
      </c>
      <c r="F5" s="5">
        <v>0.91666666666666663</v>
      </c>
      <c r="G5" s="5">
        <v>0.79583333333333328</v>
      </c>
      <c r="H5" s="5">
        <v>0.5708333333333333</v>
      </c>
      <c r="I5" s="5">
        <v>0.24166666666666667</v>
      </c>
      <c r="J5" s="5">
        <v>0.15833333333333333</v>
      </c>
      <c r="K5" s="5">
        <v>0.1875</v>
      </c>
      <c r="L5" s="5">
        <v>0.25</v>
      </c>
      <c r="M5" s="5">
        <v>0.31666666666666665</v>
      </c>
      <c r="N5" s="5">
        <v>0.42916666666666664</v>
      </c>
      <c r="O5" s="5">
        <v>0.47083333333333333</v>
      </c>
      <c r="P5" s="5">
        <v>0.27916666666666667</v>
      </c>
      <c r="Q5" s="5">
        <v>0.15833333333333333</v>
      </c>
      <c r="R5" s="5">
        <v>0.1875</v>
      </c>
      <c r="S5" s="5">
        <v>0.16666666666666666</v>
      </c>
      <c r="T5" s="5">
        <v>0.125</v>
      </c>
      <c r="U5" s="5">
        <v>0.1125</v>
      </c>
      <c r="V5" s="5">
        <v>0.12083333333333333</v>
      </c>
      <c r="W5" s="5">
        <v>8.3333333333333329E-2</v>
      </c>
      <c r="X5" s="5">
        <v>5.4166666666666669E-2</v>
      </c>
      <c r="Y5" s="5">
        <v>6.25E-2</v>
      </c>
      <c r="Z5" s="5">
        <v>0.1</v>
      </c>
      <c r="AA5" s="5">
        <v>8.3333333333333329E-2</v>
      </c>
      <c r="AB5" s="5">
        <v>6.25E-2</v>
      </c>
      <c r="AC5" s="5">
        <v>3.7499999999999999E-2</v>
      </c>
      <c r="AD5" s="5">
        <v>8.3333333333333332E-3</v>
      </c>
      <c r="AE5" s="5">
        <v>8.3333333333333332E-3</v>
      </c>
      <c r="AF5" s="12">
        <v>8.3333333333333332E-3</v>
      </c>
    </row>
    <row r="6" spans="1:32" ht="15" customHeight="1" x14ac:dyDescent="0.15">
      <c r="A6" s="2" t="s">
        <v>68</v>
      </c>
      <c r="B6" s="5">
        <v>0.05</v>
      </c>
      <c r="C6" s="5">
        <v>1.2500000000000001E-2</v>
      </c>
      <c r="D6" s="5">
        <v>0</v>
      </c>
      <c r="E6" s="5">
        <v>4.1666666666666666E-3</v>
      </c>
      <c r="F6" s="5">
        <v>3.3333333333333333E-2</v>
      </c>
      <c r="G6" s="5">
        <v>3.3333333333333333E-2</v>
      </c>
      <c r="H6" s="5">
        <v>0</v>
      </c>
      <c r="I6" s="5">
        <v>0</v>
      </c>
      <c r="J6" s="5">
        <v>0</v>
      </c>
      <c r="K6" s="5">
        <v>4.1666666666666666E-3</v>
      </c>
      <c r="L6" s="5">
        <v>0.1125</v>
      </c>
      <c r="M6" s="5">
        <v>0.1125</v>
      </c>
      <c r="N6" s="5">
        <v>0</v>
      </c>
      <c r="O6" s="5">
        <v>0</v>
      </c>
      <c r="P6" s="5">
        <v>8.3333333333333332E-3</v>
      </c>
      <c r="Q6" s="5">
        <v>1.6666666666666666E-2</v>
      </c>
      <c r="R6" s="5">
        <v>0.1</v>
      </c>
      <c r="S6" s="5">
        <v>0.17499999999999999</v>
      </c>
      <c r="T6" s="5">
        <v>0.14166666666666666</v>
      </c>
      <c r="U6" s="5">
        <v>1.2500000000000001E-2</v>
      </c>
      <c r="V6" s="5">
        <v>0</v>
      </c>
      <c r="W6" s="5">
        <v>0</v>
      </c>
      <c r="X6" s="5">
        <v>0</v>
      </c>
      <c r="Y6" s="5">
        <v>0</v>
      </c>
      <c r="Z6" s="5">
        <v>0</v>
      </c>
      <c r="AA6" s="5">
        <v>2.0833333333333332E-2</v>
      </c>
      <c r="AB6" s="5">
        <v>0</v>
      </c>
      <c r="AC6" s="5">
        <v>0</v>
      </c>
      <c r="AD6" s="5">
        <v>0</v>
      </c>
      <c r="AE6" s="5">
        <v>0</v>
      </c>
      <c r="AF6" s="12">
        <v>0</v>
      </c>
    </row>
    <row r="7" spans="1:32" ht="15" customHeight="1" thickBot="1" x14ac:dyDescent="0.2">
      <c r="A7" s="3" t="s">
        <v>69</v>
      </c>
      <c r="B7" s="13">
        <v>0.84583333333333333</v>
      </c>
      <c r="C7" s="13">
        <v>1</v>
      </c>
      <c r="D7" s="13">
        <v>1</v>
      </c>
      <c r="E7" s="13">
        <v>1</v>
      </c>
      <c r="F7" s="13">
        <v>1</v>
      </c>
      <c r="G7" s="13">
        <v>0.80833333333333335</v>
      </c>
      <c r="H7" s="13">
        <v>0.57916666666666672</v>
      </c>
      <c r="I7" s="13">
        <v>0.25833333333333336</v>
      </c>
      <c r="J7" s="13">
        <v>0.15833333333333333</v>
      </c>
      <c r="K7" s="13">
        <v>0.21666666666666667</v>
      </c>
      <c r="L7" s="13">
        <v>0.35833333333333334</v>
      </c>
      <c r="M7" s="13">
        <v>0.44583333333333336</v>
      </c>
      <c r="N7" s="13">
        <v>0.4375</v>
      </c>
      <c r="O7" s="13">
        <v>0.45833333333333331</v>
      </c>
      <c r="P7" s="13">
        <v>0.31666666666666665</v>
      </c>
      <c r="Q7" s="13">
        <v>0.28749999999999998</v>
      </c>
      <c r="R7" s="13">
        <v>0.49583333333333335</v>
      </c>
      <c r="S7" s="13">
        <v>0.6</v>
      </c>
      <c r="T7" s="13">
        <v>0.54166666666666663</v>
      </c>
      <c r="U7" s="13">
        <v>0.51666666666666672</v>
      </c>
      <c r="V7" s="13">
        <v>0.54583333333333328</v>
      </c>
      <c r="W7" s="13">
        <v>0.43333333333333335</v>
      </c>
      <c r="X7" s="13">
        <v>0.35833333333333334</v>
      </c>
      <c r="Y7" s="13">
        <v>0.39583333333333331</v>
      </c>
      <c r="Z7" s="13">
        <v>0.45833333333333331</v>
      </c>
      <c r="AA7" s="13">
        <v>0.47499999999999998</v>
      </c>
      <c r="AB7" s="13">
        <v>0.51666666666666672</v>
      </c>
      <c r="AC7" s="13">
        <v>0.5</v>
      </c>
      <c r="AD7" s="13">
        <v>0.36249999999999999</v>
      </c>
      <c r="AE7" s="13">
        <v>0.33750000000000002</v>
      </c>
      <c r="AF7" s="14">
        <v>0.35833333333333334</v>
      </c>
    </row>
    <row r="8" spans="1:32" ht="14.25" x14ac:dyDescent="0.15">
      <c r="A8" s="8"/>
      <c r="B8" s="8"/>
      <c r="C8" s="9"/>
      <c r="D8" s="9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</row>
    <row r="9" spans="1:32" x14ac:dyDescent="0.15">
      <c r="A9" s="10"/>
    </row>
    <row r="10" spans="1:32" x14ac:dyDescent="0.15">
      <c r="C10" s="10"/>
      <c r="D10" s="10"/>
    </row>
    <row r="11" spans="1:32" x14ac:dyDescent="0.15">
      <c r="A11" s="11"/>
      <c r="C11" s="10"/>
      <c r="D11" s="10"/>
    </row>
    <row r="12" spans="1:32" x14ac:dyDescent="0.15">
      <c r="A12" s="10"/>
      <c r="C12" s="10"/>
      <c r="D12" s="10"/>
    </row>
    <row r="13" spans="1:32" x14ac:dyDescent="0.15">
      <c r="C13" s="10"/>
      <c r="D13" s="10"/>
    </row>
    <row r="14" spans="1:32" x14ac:dyDescent="0.15">
      <c r="A14" s="10"/>
      <c r="C14" s="10"/>
      <c r="D14" s="10"/>
    </row>
    <row r="15" spans="1:32" x14ac:dyDescent="0.15">
      <c r="A15" s="10"/>
      <c r="C15" s="10"/>
      <c r="D15" s="10"/>
    </row>
    <row r="16" spans="1:32" x14ac:dyDescent="0.15">
      <c r="A16" s="10"/>
      <c r="C16" s="10"/>
      <c r="D16" s="10"/>
    </row>
    <row r="17" spans="1:4" x14ac:dyDescent="0.15">
      <c r="A17" s="10"/>
      <c r="C17" s="10"/>
      <c r="D17" s="10"/>
    </row>
    <row r="18" spans="1:4" x14ac:dyDescent="0.15">
      <c r="A18" s="10"/>
      <c r="C18" s="10"/>
      <c r="D18" s="10"/>
    </row>
    <row r="19" spans="1:4" x14ac:dyDescent="0.15">
      <c r="A19" s="10"/>
      <c r="C19" s="10"/>
      <c r="D19" s="10"/>
    </row>
    <row r="20" spans="1:4" x14ac:dyDescent="0.15">
      <c r="A20" s="10"/>
      <c r="C20" s="10"/>
      <c r="D20" s="10"/>
    </row>
    <row r="21" spans="1:4" x14ac:dyDescent="0.15">
      <c r="A21" s="10"/>
      <c r="C21" s="10"/>
      <c r="D21" s="10"/>
    </row>
    <row r="22" spans="1:4" x14ac:dyDescent="0.15">
      <c r="A22" s="10"/>
      <c r="C22" s="10"/>
      <c r="D22" s="10"/>
    </row>
    <row r="23" spans="1:4" x14ac:dyDescent="0.15">
      <c r="A23" s="10"/>
      <c r="C23" s="10"/>
      <c r="D23" s="10"/>
    </row>
    <row r="24" spans="1:4" x14ac:dyDescent="0.15">
      <c r="A24" s="10"/>
      <c r="C24" s="10"/>
      <c r="D24" s="10"/>
    </row>
    <row r="25" spans="1:4" x14ac:dyDescent="0.15">
      <c r="A25" s="10"/>
      <c r="C25" s="10"/>
      <c r="D25" s="10"/>
    </row>
    <row r="26" spans="1:4" x14ac:dyDescent="0.15">
      <c r="A26" s="10"/>
      <c r="C26" s="10"/>
      <c r="D26" s="10"/>
    </row>
    <row r="27" spans="1:4" x14ac:dyDescent="0.15">
      <c r="A27" s="10"/>
      <c r="C27" s="10"/>
      <c r="D27" s="10"/>
    </row>
    <row r="28" spans="1:4" x14ac:dyDescent="0.15">
      <c r="A28" s="10"/>
      <c r="C28" s="10"/>
      <c r="D28" s="10"/>
    </row>
    <row r="29" spans="1:4" x14ac:dyDescent="0.15">
      <c r="A29" s="10"/>
      <c r="C29" s="10"/>
      <c r="D29" s="10"/>
    </row>
    <row r="30" spans="1:4" x14ac:dyDescent="0.15">
      <c r="A30" s="10"/>
      <c r="D30" s="10"/>
    </row>
    <row r="31" spans="1:4" x14ac:dyDescent="0.15">
      <c r="A31" s="10"/>
      <c r="D31" s="10"/>
    </row>
    <row r="32" spans="1:4" x14ac:dyDescent="0.15">
      <c r="A32" s="10"/>
      <c r="D32" s="10"/>
    </row>
    <row r="33" spans="1:4" x14ac:dyDescent="0.15">
      <c r="A33" s="10"/>
      <c r="D33" s="10"/>
    </row>
    <row r="34" spans="1:4" x14ac:dyDescent="0.15">
      <c r="A34" s="10"/>
      <c r="D34" s="10"/>
    </row>
    <row r="35" spans="1:4" x14ac:dyDescent="0.15">
      <c r="A35" s="10"/>
      <c r="D35" s="10"/>
    </row>
    <row r="36" spans="1:4" x14ac:dyDescent="0.15">
      <c r="A36" s="10"/>
      <c r="D36" s="10"/>
    </row>
    <row r="37" spans="1:4" x14ac:dyDescent="0.15">
      <c r="A37" s="10"/>
      <c r="D37" s="10"/>
    </row>
    <row r="38" spans="1:4" x14ac:dyDescent="0.15">
      <c r="A38" s="10"/>
      <c r="D38" s="10"/>
    </row>
    <row r="39" spans="1:4" x14ac:dyDescent="0.15">
      <c r="A39" s="10"/>
      <c r="D39" s="10"/>
    </row>
    <row r="40" spans="1:4" x14ac:dyDescent="0.15">
      <c r="A40" s="10"/>
      <c r="D40" s="10"/>
    </row>
    <row r="41" spans="1:4" x14ac:dyDescent="0.15">
      <c r="A41" s="10"/>
      <c r="D41" s="10"/>
    </row>
    <row r="42" spans="1:4" x14ac:dyDescent="0.15">
      <c r="A42" s="10"/>
      <c r="D42" s="10"/>
    </row>
    <row r="43" spans="1:4" x14ac:dyDescent="0.15">
      <c r="A43" s="10"/>
      <c r="D43" s="10"/>
    </row>
    <row r="44" spans="1:4" x14ac:dyDescent="0.15">
      <c r="A44" s="10"/>
      <c r="D44" s="10"/>
    </row>
    <row r="45" spans="1:4" x14ac:dyDescent="0.15">
      <c r="A45" s="10"/>
      <c r="D45" s="10"/>
    </row>
    <row r="46" spans="1:4" x14ac:dyDescent="0.15">
      <c r="A46" s="10"/>
      <c r="D46" s="10"/>
    </row>
    <row r="47" spans="1:4" x14ac:dyDescent="0.15">
      <c r="A47" s="10"/>
      <c r="D47" s="10"/>
    </row>
    <row r="48" spans="1:4" x14ac:dyDescent="0.15">
      <c r="A48" s="10"/>
      <c r="D48" s="10"/>
    </row>
    <row r="49" spans="1:4" x14ac:dyDescent="0.15">
      <c r="A49" s="10"/>
      <c r="D49" s="10"/>
    </row>
    <row r="50" spans="1:4" x14ac:dyDescent="0.15">
      <c r="A50" s="10"/>
      <c r="D50" s="10"/>
    </row>
    <row r="51" spans="1:4" x14ac:dyDescent="0.15">
      <c r="A51" s="10"/>
      <c r="D51" s="10"/>
    </row>
    <row r="52" spans="1:4" x14ac:dyDescent="0.15">
      <c r="A52" s="10"/>
      <c r="D52" s="10"/>
    </row>
    <row r="53" spans="1:4" x14ac:dyDescent="0.15">
      <c r="A53" s="10"/>
      <c r="D53" s="10"/>
    </row>
    <row r="54" spans="1:4" x14ac:dyDescent="0.15">
      <c r="A54" s="10"/>
      <c r="D54" s="10"/>
    </row>
    <row r="55" spans="1:4" x14ac:dyDescent="0.15">
      <c r="A55" s="10"/>
      <c r="D55" s="10"/>
    </row>
    <row r="56" spans="1:4" x14ac:dyDescent="0.15">
      <c r="A56" s="10"/>
      <c r="D56" s="10"/>
    </row>
    <row r="57" spans="1:4" x14ac:dyDescent="0.15">
      <c r="A57" s="10"/>
      <c r="D57" s="10"/>
    </row>
    <row r="58" spans="1:4" x14ac:dyDescent="0.15">
      <c r="A58" s="10"/>
      <c r="D58" s="10"/>
    </row>
    <row r="59" spans="1:4" x14ac:dyDescent="0.15">
      <c r="A59" s="10"/>
      <c r="D59" s="10"/>
    </row>
    <row r="60" spans="1:4" x14ac:dyDescent="0.15">
      <c r="A60" s="10"/>
      <c r="D60" s="10"/>
    </row>
    <row r="61" spans="1:4" x14ac:dyDescent="0.15">
      <c r="A61" s="10"/>
      <c r="D61" s="10"/>
    </row>
    <row r="62" spans="1:4" x14ac:dyDescent="0.15">
      <c r="A62" s="10"/>
      <c r="D62" s="10"/>
    </row>
    <row r="63" spans="1:4" x14ac:dyDescent="0.15">
      <c r="A63" s="10"/>
      <c r="D63" s="10"/>
    </row>
    <row r="64" spans="1:4" x14ac:dyDescent="0.15">
      <c r="A64" s="10"/>
      <c r="D64" s="10"/>
    </row>
    <row r="65" spans="1:4" x14ac:dyDescent="0.15">
      <c r="A65" s="10"/>
      <c r="D65" s="10"/>
    </row>
    <row r="66" spans="1:4" x14ac:dyDescent="0.15">
      <c r="A66" s="10"/>
      <c r="D66" s="10"/>
    </row>
    <row r="67" spans="1:4" x14ac:dyDescent="0.15">
      <c r="A67" s="10"/>
      <c r="D67" s="10"/>
    </row>
    <row r="68" spans="1:4" x14ac:dyDescent="0.15">
      <c r="A68" s="10"/>
      <c r="D68" s="10"/>
    </row>
    <row r="69" spans="1:4" x14ac:dyDescent="0.15">
      <c r="A69" s="10"/>
      <c r="D69" s="10"/>
    </row>
    <row r="70" spans="1:4" x14ac:dyDescent="0.15">
      <c r="A70" s="10"/>
      <c r="D70" s="10"/>
    </row>
    <row r="71" spans="1:4" x14ac:dyDescent="0.15">
      <c r="A71" s="10"/>
      <c r="D71" s="10"/>
    </row>
    <row r="72" spans="1:4" x14ac:dyDescent="0.15">
      <c r="A72" s="10"/>
      <c r="D72" s="10"/>
    </row>
    <row r="73" spans="1:4" x14ac:dyDescent="0.15">
      <c r="A73" s="10"/>
      <c r="D73" s="10"/>
    </row>
    <row r="74" spans="1:4" x14ac:dyDescent="0.15">
      <c r="A74" s="10"/>
      <c r="D74" s="10"/>
    </row>
    <row r="75" spans="1:4" x14ac:dyDescent="0.15">
      <c r="A75" s="10"/>
      <c r="D75" s="10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Refresh_A_Glance">
                <anchor moveWithCells="1" sizeWithCells="1">
                  <from>
                    <xdr:col>10</xdr:col>
                    <xdr:colOff>9525</xdr:colOff>
                    <xdr:row>0</xdr:row>
                    <xdr:rowOff>0</xdr:rowOff>
                  </from>
                  <to>
                    <xdr:col>13</xdr:col>
                    <xdr:colOff>523875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>
                  <from>
                    <xdr:col>3</xdr:col>
                    <xdr:colOff>0</xdr:colOff>
                    <xdr:row>0</xdr:row>
                    <xdr:rowOff>9525</xdr:rowOff>
                  </from>
                  <to>
                    <xdr:col>6</xdr:col>
                    <xdr:colOff>523875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6" name="Drop Down 12">
              <controlPr defaultSize="0" autoLine="0" autoPict="0">
                <anchor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9</xdr:col>
                    <xdr:colOff>9525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33"/>
  <sheetViews>
    <sheetView zoomScale="70" zoomScaleNormal="70" workbookViewId="0">
      <selection activeCell="A15" sqref="A15"/>
    </sheetView>
  </sheetViews>
  <sheetFormatPr defaultRowHeight="15" customHeight="1" x14ac:dyDescent="0.15"/>
  <cols>
    <col min="1" max="1" width="15.875" style="7" customWidth="1"/>
    <col min="2" max="71" width="7.125" style="7" customWidth="1"/>
    <col min="72" max="16384" width="9" style="7"/>
  </cols>
  <sheetData>
    <row r="1" spans="1:32" ht="20.100000000000001" customHeight="1" thickBot="1" x14ac:dyDescent="0.2">
      <c r="A1" s="19">
        <f>A_Glance!A1</f>
        <v>43024</v>
      </c>
      <c r="D1" s="7">
        <f>A_Glance!$D$1</f>
        <v>1</v>
      </c>
      <c r="E1" s="24" t="str">
        <f>VLOOKUP(D1,Config!$A$1:$B$65,2,FALSE)</f>
        <v>Wanda Reign Chengdu</v>
      </c>
      <c r="H1" s="22">
        <f>A_Glance!$H$1</f>
        <v>2017</v>
      </c>
      <c r="I1" s="25">
        <f>A_Glance!$I$1</f>
        <v>10</v>
      </c>
    </row>
    <row r="2" spans="1:32" ht="15" customHeight="1" thickBot="1" x14ac:dyDescent="0.2"/>
    <row r="3" spans="1:32" ht="19.5" customHeight="1" x14ac:dyDescent="0.15">
      <c r="A3" s="26" t="s">
        <v>74</v>
      </c>
      <c r="B3" s="23" t="s">
        <v>75</v>
      </c>
      <c r="C3" s="23" t="s">
        <v>76</v>
      </c>
      <c r="D3" s="23" t="s">
        <v>77</v>
      </c>
      <c r="E3" s="23" t="s">
        <v>78</v>
      </c>
      <c r="F3" s="23" t="s">
        <v>79</v>
      </c>
      <c r="G3" s="23" t="s">
        <v>80</v>
      </c>
      <c r="H3" s="23" t="s">
        <v>81</v>
      </c>
      <c r="I3" s="23" t="s">
        <v>82</v>
      </c>
      <c r="J3" s="23" t="s">
        <v>83</v>
      </c>
      <c r="K3" s="23" t="s">
        <v>84</v>
      </c>
      <c r="L3" s="23" t="s">
        <v>85</v>
      </c>
      <c r="M3" s="23" t="s">
        <v>86</v>
      </c>
      <c r="N3" s="23" t="s">
        <v>87</v>
      </c>
      <c r="O3" s="23" t="s">
        <v>88</v>
      </c>
      <c r="P3" s="23" t="s">
        <v>89</v>
      </c>
      <c r="Q3" s="23" t="s">
        <v>90</v>
      </c>
      <c r="R3" s="23" t="s">
        <v>91</v>
      </c>
      <c r="S3" s="23" t="s">
        <v>92</v>
      </c>
      <c r="T3" s="23" t="s">
        <v>93</v>
      </c>
      <c r="U3" s="23" t="s">
        <v>94</v>
      </c>
      <c r="V3" s="23" t="s">
        <v>95</v>
      </c>
      <c r="W3" s="23" t="s">
        <v>96</v>
      </c>
      <c r="X3" s="23" t="s">
        <v>97</v>
      </c>
      <c r="Y3" s="23" t="s">
        <v>98</v>
      </c>
      <c r="Z3" s="23" t="s">
        <v>99</v>
      </c>
      <c r="AA3" s="23" t="s">
        <v>100</v>
      </c>
      <c r="AB3" s="23" t="s">
        <v>101</v>
      </c>
      <c r="AC3" s="23" t="s">
        <v>102</v>
      </c>
      <c r="AD3" s="23" t="s">
        <v>103</v>
      </c>
      <c r="AE3" s="23" t="s">
        <v>104</v>
      </c>
      <c r="AF3" s="23" t="s">
        <v>105</v>
      </c>
    </row>
    <row r="4" spans="1:32" ht="15" customHeight="1" x14ac:dyDescent="0.15">
      <c r="A4" s="27" t="s">
        <v>71</v>
      </c>
      <c r="B4" s="29">
        <v>173</v>
      </c>
      <c r="C4" s="29">
        <v>228</v>
      </c>
      <c r="D4" s="29">
        <v>240</v>
      </c>
      <c r="E4" s="29">
        <v>238</v>
      </c>
      <c r="F4" s="29">
        <v>228</v>
      </c>
      <c r="G4" s="29">
        <v>199</v>
      </c>
      <c r="H4" s="29">
        <v>137</v>
      </c>
      <c r="I4" s="29">
        <v>58</v>
      </c>
      <c r="J4" s="29">
        <v>38</v>
      </c>
      <c r="K4" s="29">
        <v>46</v>
      </c>
      <c r="L4" s="29">
        <v>87</v>
      </c>
      <c r="M4" s="29">
        <v>103</v>
      </c>
      <c r="N4" s="29">
        <v>103</v>
      </c>
      <c r="O4" s="29">
        <v>113</v>
      </c>
      <c r="P4" s="29">
        <v>69</v>
      </c>
      <c r="Q4" s="29">
        <v>42</v>
      </c>
      <c r="R4" s="29">
        <v>69</v>
      </c>
      <c r="S4" s="29">
        <v>82</v>
      </c>
      <c r="T4" s="29">
        <v>64</v>
      </c>
      <c r="U4" s="29">
        <v>30</v>
      </c>
      <c r="V4" s="29">
        <v>29</v>
      </c>
      <c r="W4" s="29">
        <v>20</v>
      </c>
      <c r="X4" s="29">
        <v>13</v>
      </c>
      <c r="Y4" s="29">
        <v>15</v>
      </c>
      <c r="Z4" s="29">
        <v>24</v>
      </c>
      <c r="AA4" s="29">
        <v>25</v>
      </c>
      <c r="AB4" s="29">
        <v>15</v>
      </c>
      <c r="AC4" s="29">
        <v>9</v>
      </c>
      <c r="AD4" s="29">
        <v>2</v>
      </c>
      <c r="AE4" s="29">
        <v>2</v>
      </c>
      <c r="AF4" s="29">
        <v>2</v>
      </c>
    </row>
    <row r="5" spans="1:32" ht="15" customHeight="1" x14ac:dyDescent="0.15">
      <c r="A5" s="27" t="s">
        <v>72</v>
      </c>
      <c r="B5" s="28">
        <v>957.46907514450868</v>
      </c>
      <c r="C5" s="28">
        <v>1157.0998245614035</v>
      </c>
      <c r="D5" s="28">
        <v>1247.4598333333333</v>
      </c>
      <c r="E5" s="28">
        <v>1211.0353361344537</v>
      </c>
      <c r="F5" s="28">
        <v>1150.9672807017544</v>
      </c>
      <c r="G5" s="28">
        <v>1086.5435678391962</v>
      </c>
      <c r="H5" s="28">
        <v>1054.2233576642336</v>
      </c>
      <c r="I5" s="28">
        <v>1022.3172413793104</v>
      </c>
      <c r="J5" s="28">
        <v>1043.1015789473684</v>
      </c>
      <c r="K5" s="28">
        <v>1149.1647826086958</v>
      </c>
      <c r="L5" s="28">
        <v>861.63873563218397</v>
      </c>
      <c r="M5" s="28">
        <v>925.17058252427194</v>
      </c>
      <c r="N5" s="28">
        <v>1021.5754368932039</v>
      </c>
      <c r="O5" s="28">
        <v>1048.1623008849558</v>
      </c>
      <c r="P5" s="28">
        <v>932.1037681159421</v>
      </c>
      <c r="Q5" s="28">
        <v>850.48261904761898</v>
      </c>
      <c r="R5" s="28">
        <v>881.77811594202899</v>
      </c>
      <c r="S5" s="28">
        <v>863.09134146341466</v>
      </c>
      <c r="T5" s="28">
        <v>808.24796875000004</v>
      </c>
      <c r="U5" s="28">
        <v>708.37166666666667</v>
      </c>
      <c r="V5" s="28">
        <v>879.03655172413801</v>
      </c>
      <c r="W5" s="28">
        <v>918.43500000000006</v>
      </c>
      <c r="X5" s="28">
        <v>1069.626923076923</v>
      </c>
      <c r="Y5" s="28">
        <v>819.13666666666666</v>
      </c>
      <c r="Z5" s="28">
        <v>866.64458333333334</v>
      </c>
      <c r="AA5" s="28">
        <v>814.61399999999992</v>
      </c>
      <c r="AB5" s="28">
        <v>931.79466666666667</v>
      </c>
      <c r="AC5" s="28">
        <v>812.63777777777773</v>
      </c>
      <c r="AD5" s="28">
        <v>0</v>
      </c>
      <c r="AE5" s="28">
        <v>0</v>
      </c>
      <c r="AF5" s="28">
        <v>0</v>
      </c>
    </row>
    <row r="6" spans="1:32" ht="15" customHeight="1" x14ac:dyDescent="0.15">
      <c r="A6" s="27" t="s">
        <v>73</v>
      </c>
      <c r="B6" s="28">
        <v>690.17562499999997</v>
      </c>
      <c r="C6" s="28">
        <v>1099.2448333333334</v>
      </c>
      <c r="D6" s="28">
        <v>1247.4598333333333</v>
      </c>
      <c r="E6" s="28">
        <v>1200.9433749999998</v>
      </c>
      <c r="F6" s="28">
        <v>1093.4189166666665</v>
      </c>
      <c r="G6" s="28">
        <v>900.92570833333343</v>
      </c>
      <c r="H6" s="28">
        <v>601.78583333333336</v>
      </c>
      <c r="I6" s="28">
        <v>247.06</v>
      </c>
      <c r="J6" s="28">
        <v>165.15774999999999</v>
      </c>
      <c r="K6" s="28">
        <v>220.25658333333334</v>
      </c>
      <c r="L6" s="28">
        <v>312.34404166666667</v>
      </c>
      <c r="M6" s="28">
        <v>397.05237500000004</v>
      </c>
      <c r="N6" s="28">
        <v>438.42612500000001</v>
      </c>
      <c r="O6" s="28">
        <v>493.50975</v>
      </c>
      <c r="P6" s="28">
        <v>267.97983333333337</v>
      </c>
      <c r="Q6" s="28">
        <v>148.83445833333332</v>
      </c>
      <c r="R6" s="28">
        <v>253.51120833333334</v>
      </c>
      <c r="S6" s="28">
        <v>294.88954166666667</v>
      </c>
      <c r="T6" s="28">
        <v>215.53279166666667</v>
      </c>
      <c r="U6" s="28">
        <v>88.546458333333334</v>
      </c>
      <c r="V6" s="28">
        <v>106.21691666666668</v>
      </c>
      <c r="W6" s="28">
        <v>76.53625000000001</v>
      </c>
      <c r="X6" s="28">
        <v>57.938124999999999</v>
      </c>
      <c r="Y6" s="28">
        <v>51.196041666666666</v>
      </c>
      <c r="Z6" s="28">
        <v>86.664458333333343</v>
      </c>
      <c r="AA6" s="28">
        <v>84.855624999999989</v>
      </c>
      <c r="AB6" s="28">
        <v>58.237166666666667</v>
      </c>
      <c r="AC6" s="28">
        <v>30.473916666666664</v>
      </c>
      <c r="AD6" s="28">
        <v>0</v>
      </c>
      <c r="AE6" s="28">
        <v>0</v>
      </c>
      <c r="AF6" s="28">
        <v>0</v>
      </c>
    </row>
    <row r="7" spans="1:32" ht="15" customHeight="1" thickBot="1" x14ac:dyDescent="0.2"/>
    <row r="8" spans="1:32" ht="19.5" customHeight="1" x14ac:dyDescent="0.15">
      <c r="A8" s="26" t="s">
        <v>74</v>
      </c>
      <c r="B8" s="30" t="s">
        <v>106</v>
      </c>
      <c r="C8" s="30" t="s">
        <v>107</v>
      </c>
      <c r="D8" s="30" t="s">
        <v>108</v>
      </c>
      <c r="E8" s="30" t="s">
        <v>109</v>
      </c>
      <c r="F8" s="30" t="s">
        <v>110</v>
      </c>
      <c r="G8" s="30" t="s">
        <v>111</v>
      </c>
      <c r="H8" s="30" t="s">
        <v>112</v>
      </c>
      <c r="I8" s="30" t="s">
        <v>113</v>
      </c>
      <c r="J8" s="30" t="s">
        <v>114</v>
      </c>
      <c r="K8" s="30" t="s">
        <v>115</v>
      </c>
      <c r="L8" s="30" t="s">
        <v>116</v>
      </c>
      <c r="M8" s="30" t="s">
        <v>117</v>
      </c>
      <c r="N8" s="30" t="s">
        <v>118</v>
      </c>
      <c r="O8" s="30" t="s">
        <v>119</v>
      </c>
      <c r="P8" s="30" t="s">
        <v>120</v>
      </c>
      <c r="Q8" s="30" t="s">
        <v>121</v>
      </c>
      <c r="R8" s="30" t="s">
        <v>122</v>
      </c>
      <c r="S8" s="30" t="s">
        <v>123</v>
      </c>
      <c r="T8" s="30" t="s">
        <v>124</v>
      </c>
      <c r="U8" s="30" t="s">
        <v>125</v>
      </c>
      <c r="V8" s="30" t="s">
        <v>126</v>
      </c>
      <c r="W8" s="30" t="s">
        <v>127</v>
      </c>
      <c r="X8" s="30" t="s">
        <v>128</v>
      </c>
      <c r="Y8" s="30" t="s">
        <v>129</v>
      </c>
      <c r="Z8" s="30" t="s">
        <v>130</v>
      </c>
      <c r="AA8" s="30" t="s">
        <v>131</v>
      </c>
      <c r="AB8" s="30" t="s">
        <v>132</v>
      </c>
      <c r="AC8" s="30" t="s">
        <v>133</v>
      </c>
      <c r="AD8" s="30" t="s">
        <v>134</v>
      </c>
      <c r="AE8" s="30" t="s">
        <v>135</v>
      </c>
      <c r="AF8" s="30" t="s">
        <v>136</v>
      </c>
    </row>
    <row r="9" spans="1:32" ht="15" customHeight="1" x14ac:dyDescent="0.15">
      <c r="A9" s="27" t="s">
        <v>71</v>
      </c>
      <c r="B9" s="29">
        <v>164</v>
      </c>
      <c r="C9" s="29">
        <v>203</v>
      </c>
      <c r="D9" s="29">
        <v>239</v>
      </c>
      <c r="E9" s="29">
        <v>237</v>
      </c>
      <c r="F9" s="29">
        <v>212</v>
      </c>
      <c r="G9" s="29">
        <v>107</v>
      </c>
      <c r="H9" s="29">
        <v>69</v>
      </c>
      <c r="I9" s="29">
        <v>65</v>
      </c>
      <c r="J9" s="29">
        <v>65</v>
      </c>
      <c r="K9" s="29">
        <v>122</v>
      </c>
      <c r="L9" s="29">
        <v>80</v>
      </c>
      <c r="M9" s="29">
        <v>74</v>
      </c>
      <c r="N9" s="29">
        <v>91</v>
      </c>
      <c r="O9" s="29">
        <v>105</v>
      </c>
      <c r="P9" s="29">
        <v>97</v>
      </c>
      <c r="Q9" s="29">
        <v>70</v>
      </c>
      <c r="R9" s="29">
        <v>96</v>
      </c>
      <c r="S9" s="29">
        <v>87</v>
      </c>
      <c r="T9" s="29">
        <v>93</v>
      </c>
      <c r="U9" s="29">
        <v>129</v>
      </c>
      <c r="V9" s="29">
        <v>185</v>
      </c>
      <c r="W9" s="29">
        <v>156</v>
      </c>
      <c r="X9" s="29">
        <v>81</v>
      </c>
      <c r="Y9" s="29">
        <v>67</v>
      </c>
      <c r="Z9" s="29">
        <v>82</v>
      </c>
      <c r="AA9" s="29">
        <v>86</v>
      </c>
      <c r="AB9" s="29">
        <v>86</v>
      </c>
      <c r="AC9" s="29">
        <v>122</v>
      </c>
      <c r="AD9" s="29">
        <v>114</v>
      </c>
      <c r="AE9" s="29">
        <v>84</v>
      </c>
      <c r="AF9" s="29">
        <v>70</v>
      </c>
    </row>
    <row r="10" spans="1:32" ht="15" customHeight="1" x14ac:dyDescent="0.15">
      <c r="A10" s="27" t="s">
        <v>72</v>
      </c>
      <c r="B10" s="28">
        <v>1147.4567682926829</v>
      </c>
      <c r="C10" s="28">
        <v>1248.4975369458127</v>
      </c>
      <c r="D10" s="28">
        <v>1402.873389121339</v>
      </c>
      <c r="E10" s="28">
        <v>1393.0199156118142</v>
      </c>
      <c r="F10" s="28">
        <v>1327.3129716981132</v>
      </c>
      <c r="G10" s="28">
        <v>1149.036355140187</v>
      </c>
      <c r="H10" s="28">
        <v>1055.7833333333333</v>
      </c>
      <c r="I10" s="28">
        <v>990.3270769230769</v>
      </c>
      <c r="J10" s="28">
        <v>1003.2441538461538</v>
      </c>
      <c r="K10" s="28">
        <v>1000.3231967213114</v>
      </c>
      <c r="L10" s="28">
        <v>947.530125</v>
      </c>
      <c r="M10" s="28">
        <v>961.64337837837843</v>
      </c>
      <c r="N10" s="28">
        <v>1001.7410989010989</v>
      </c>
      <c r="O10" s="28">
        <v>1102.2488571428571</v>
      </c>
      <c r="P10" s="28">
        <v>1114.6201030927834</v>
      </c>
      <c r="Q10" s="28">
        <v>1154.7817142857143</v>
      </c>
      <c r="R10" s="28">
        <v>1057.5483333333334</v>
      </c>
      <c r="S10" s="28">
        <v>982.1618390804598</v>
      </c>
      <c r="T10" s="28">
        <v>1029.0477419354838</v>
      </c>
      <c r="U10" s="28">
        <v>1001.0733333333334</v>
      </c>
      <c r="V10" s="28">
        <v>1061.9426486486486</v>
      </c>
      <c r="W10" s="28">
        <v>1006.4542307692307</v>
      </c>
      <c r="X10" s="28">
        <v>1008.2208641975309</v>
      </c>
      <c r="Y10" s="28">
        <v>914.09059701492538</v>
      </c>
      <c r="Z10" s="28">
        <v>950.08902439024394</v>
      </c>
      <c r="AA10" s="28">
        <v>952.07674418604654</v>
      </c>
      <c r="AB10" s="28">
        <v>1082.7920930232558</v>
      </c>
      <c r="AC10" s="28">
        <v>958.61877049180328</v>
      </c>
      <c r="AD10" s="28">
        <v>1085.5542105263157</v>
      </c>
      <c r="AE10" s="28">
        <v>1131.5859523809524</v>
      </c>
      <c r="AF10" s="28">
        <v>1106.4135714285715</v>
      </c>
    </row>
    <row r="11" spans="1:32" ht="15" customHeight="1" x14ac:dyDescent="0.15">
      <c r="A11" s="27" t="s">
        <v>73</v>
      </c>
      <c r="B11" s="28">
        <v>784.09545833333334</v>
      </c>
      <c r="C11" s="28">
        <v>1056.0208333333333</v>
      </c>
      <c r="D11" s="28">
        <v>1397.0280833333334</v>
      </c>
      <c r="E11" s="28">
        <v>1375.6071666666664</v>
      </c>
      <c r="F11" s="28">
        <v>1172.4597916666667</v>
      </c>
      <c r="G11" s="28">
        <v>512.27870833333338</v>
      </c>
      <c r="H11" s="28">
        <v>303.53770833333334</v>
      </c>
      <c r="I11" s="28">
        <v>268.21358333333336</v>
      </c>
      <c r="J11" s="28">
        <v>271.71195833333337</v>
      </c>
      <c r="K11" s="28">
        <v>508.49762499999997</v>
      </c>
      <c r="L11" s="28">
        <v>315.84337500000004</v>
      </c>
      <c r="M11" s="28">
        <v>296.50670833333334</v>
      </c>
      <c r="N11" s="28">
        <v>379.82683333333335</v>
      </c>
      <c r="O11" s="28">
        <v>482.23387500000001</v>
      </c>
      <c r="P11" s="28">
        <v>450.49229166666663</v>
      </c>
      <c r="Q11" s="28">
        <v>336.81133333333332</v>
      </c>
      <c r="R11" s="28">
        <v>423.01933333333335</v>
      </c>
      <c r="S11" s="28">
        <v>356.03366666666665</v>
      </c>
      <c r="T11" s="28">
        <v>398.75600000000003</v>
      </c>
      <c r="U11" s="28">
        <v>538.07691666666665</v>
      </c>
      <c r="V11" s="28">
        <v>818.58079166666676</v>
      </c>
      <c r="W11" s="28">
        <v>654.19524999999999</v>
      </c>
      <c r="X11" s="28">
        <v>340.27454166666666</v>
      </c>
      <c r="Y11" s="28">
        <v>255.18362500000001</v>
      </c>
      <c r="Z11" s="28">
        <v>324.61375000000004</v>
      </c>
      <c r="AA11" s="28">
        <v>341.16083333333336</v>
      </c>
      <c r="AB11" s="28">
        <v>388.00049999999999</v>
      </c>
      <c r="AC11" s="28">
        <v>487.29787500000003</v>
      </c>
      <c r="AD11" s="28">
        <v>515.63824999999997</v>
      </c>
      <c r="AE11" s="28">
        <v>396.05508333333336</v>
      </c>
      <c r="AF11" s="28">
        <v>322.70395833333333</v>
      </c>
    </row>
    <row r="33" spans="7:25" ht="15" customHeight="1" x14ac:dyDescent="0.15">
      <c r="G33" s="38">
        <v>2017</v>
      </c>
      <c r="H33" s="38"/>
      <c r="I33" s="38"/>
      <c r="W33" s="38">
        <v>2016</v>
      </c>
      <c r="X33" s="38"/>
      <c r="Y33" s="38"/>
    </row>
  </sheetData>
  <mergeCells count="2">
    <mergeCell ref="G33:I33"/>
    <mergeCell ref="W33:Y3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Drop Down 1">
              <controlPr defaultSize="0" autoLine="0" autoPict="0">
                <anchor>
                  <from>
                    <xdr:col>3</xdr:col>
                    <xdr:colOff>0</xdr:colOff>
                    <xdr:row>0</xdr:row>
                    <xdr:rowOff>9525</xdr:rowOff>
                  </from>
                  <to>
                    <xdr:col>6</xdr:col>
                    <xdr:colOff>533400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Drop Down 2">
              <controlPr defaultSize="0" autoLine="0" autoPict="0">
                <anchor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9</xdr:col>
                    <xdr:colOff>9525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Date_Report">
                <anchor moveWithCells="1" sizeWithCells="1">
                  <from>
                    <xdr:col>10</xdr:col>
                    <xdr:colOff>9525</xdr:colOff>
                    <xdr:row>0</xdr:row>
                    <xdr:rowOff>0</xdr:rowOff>
                  </from>
                  <to>
                    <xdr:col>13</xdr:col>
                    <xdr:colOff>523875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X191"/>
  <sheetViews>
    <sheetView zoomScale="70" zoomScaleNormal="70" workbookViewId="0">
      <selection activeCell="A19" sqref="A19"/>
    </sheetView>
  </sheetViews>
  <sheetFormatPr defaultColWidth="7.125" defaultRowHeight="13.5" x14ac:dyDescent="0.15"/>
  <cols>
    <col min="1" max="1" width="15.875" style="7" customWidth="1"/>
    <col min="2" max="16384" width="7.125" style="7"/>
  </cols>
  <sheetData>
    <row r="1" spans="1:76" customFormat="1" ht="20.100000000000001" customHeight="1" thickBot="1" x14ac:dyDescent="0.2">
      <c r="A1" s="31">
        <f>A_Glance!A1</f>
        <v>43024</v>
      </c>
      <c r="B1" s="7"/>
      <c r="C1" s="7"/>
      <c r="D1" s="7">
        <f>A_Glance!$D$1</f>
        <v>1</v>
      </c>
      <c r="E1" s="24" t="str">
        <f>VLOOKUP(D1,Config!$A$1:$B$65,2,FALSE)</f>
        <v>Wanda Reign Chengdu</v>
      </c>
      <c r="F1" s="7"/>
      <c r="G1" s="7"/>
      <c r="H1" s="22">
        <f>A_Glance!$H$1</f>
        <v>2017</v>
      </c>
      <c r="I1" s="25">
        <f>A_Glance!$I$1</f>
        <v>10</v>
      </c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</row>
    <row r="2" spans="1:76" customFormat="1" ht="15" customHeight="1" thickBot="1" x14ac:dyDescent="0.2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</row>
    <row r="3" spans="1:76" ht="19.5" customHeight="1" x14ac:dyDescent="0.15">
      <c r="A3" s="26" t="s">
        <v>74</v>
      </c>
      <c r="B3" s="23" t="s">
        <v>75</v>
      </c>
      <c r="C3" s="23" t="s">
        <v>76</v>
      </c>
      <c r="D3" s="23" t="s">
        <v>77</v>
      </c>
      <c r="E3" s="23" t="s">
        <v>78</v>
      </c>
      <c r="F3" s="23" t="s">
        <v>79</v>
      </c>
      <c r="G3" s="23" t="s">
        <v>80</v>
      </c>
      <c r="H3" s="23" t="s">
        <v>81</v>
      </c>
      <c r="I3" s="23" t="s">
        <v>82</v>
      </c>
      <c r="J3" s="23" t="s">
        <v>83</v>
      </c>
      <c r="K3" s="23" t="s">
        <v>84</v>
      </c>
      <c r="L3" s="23" t="s">
        <v>85</v>
      </c>
      <c r="M3" s="23" t="s">
        <v>86</v>
      </c>
      <c r="N3" s="23" t="s">
        <v>87</v>
      </c>
      <c r="O3" s="23" t="s">
        <v>88</v>
      </c>
      <c r="P3" s="23" t="s">
        <v>89</v>
      </c>
      <c r="Q3" s="23" t="s">
        <v>90</v>
      </c>
      <c r="R3" s="23" t="s">
        <v>91</v>
      </c>
      <c r="S3" s="23" t="s">
        <v>92</v>
      </c>
      <c r="T3" s="23" t="s">
        <v>93</v>
      </c>
      <c r="U3" s="23" t="s">
        <v>94</v>
      </c>
      <c r="V3" s="23" t="s">
        <v>95</v>
      </c>
      <c r="W3" s="23" t="s">
        <v>96</v>
      </c>
      <c r="X3" s="23" t="s">
        <v>97</v>
      </c>
      <c r="Y3" s="23" t="s">
        <v>98</v>
      </c>
      <c r="Z3" s="23" t="s">
        <v>99</v>
      </c>
      <c r="AA3" s="23" t="s">
        <v>100</v>
      </c>
      <c r="AB3" s="23" t="s">
        <v>101</v>
      </c>
      <c r="AC3" s="23" t="s">
        <v>102</v>
      </c>
      <c r="AD3" s="23" t="s">
        <v>103</v>
      </c>
      <c r="AE3" s="23" t="s">
        <v>104</v>
      </c>
      <c r="AF3" s="23" t="s">
        <v>105</v>
      </c>
    </row>
    <row r="4" spans="1:76" ht="15" customHeight="1" x14ac:dyDescent="0.15">
      <c r="A4" s="27" t="s">
        <v>137</v>
      </c>
      <c r="B4" s="29">
        <v>240</v>
      </c>
      <c r="C4" s="29">
        <v>240</v>
      </c>
      <c r="D4" s="29">
        <v>240</v>
      </c>
      <c r="E4" s="29">
        <v>240</v>
      </c>
      <c r="F4" s="29">
        <v>240</v>
      </c>
      <c r="G4" s="29">
        <v>240</v>
      </c>
      <c r="H4" s="29">
        <v>240</v>
      </c>
      <c r="I4" s="29">
        <v>240</v>
      </c>
      <c r="J4" s="29">
        <v>240</v>
      </c>
      <c r="K4" s="29">
        <v>240</v>
      </c>
      <c r="L4" s="29">
        <v>240</v>
      </c>
      <c r="M4" s="29">
        <v>240</v>
      </c>
      <c r="N4" s="29">
        <v>240</v>
      </c>
      <c r="O4" s="29">
        <v>240</v>
      </c>
      <c r="P4" s="29">
        <v>240</v>
      </c>
      <c r="Q4" s="29">
        <v>240</v>
      </c>
      <c r="R4" s="29">
        <v>240</v>
      </c>
      <c r="S4" s="29">
        <v>240</v>
      </c>
      <c r="T4" s="29">
        <v>240</v>
      </c>
      <c r="U4" s="29">
        <v>240</v>
      </c>
      <c r="V4" s="29">
        <v>240</v>
      </c>
      <c r="W4" s="29">
        <v>240</v>
      </c>
      <c r="X4" s="29">
        <v>240</v>
      </c>
      <c r="Y4" s="29">
        <v>240</v>
      </c>
      <c r="Z4" s="29">
        <v>240</v>
      </c>
      <c r="AA4" s="29">
        <v>240</v>
      </c>
      <c r="AB4" s="29">
        <v>240</v>
      </c>
      <c r="AC4" s="29">
        <v>240</v>
      </c>
      <c r="AD4" s="29">
        <v>240</v>
      </c>
      <c r="AE4" s="29">
        <v>240</v>
      </c>
      <c r="AF4" s="29">
        <v>240</v>
      </c>
    </row>
    <row r="5" spans="1:76" ht="15" customHeight="1" x14ac:dyDescent="0.15">
      <c r="A5" s="27" t="s">
        <v>138</v>
      </c>
      <c r="B5" s="29">
        <v>161</v>
      </c>
      <c r="C5" s="29">
        <v>225</v>
      </c>
      <c r="D5" s="29">
        <v>240</v>
      </c>
      <c r="E5" s="29">
        <v>237</v>
      </c>
      <c r="F5" s="29">
        <v>220</v>
      </c>
      <c r="G5" s="29">
        <v>191</v>
      </c>
      <c r="H5" s="29">
        <v>137</v>
      </c>
      <c r="I5" s="29">
        <v>58</v>
      </c>
      <c r="J5" s="29">
        <v>38</v>
      </c>
      <c r="K5" s="29">
        <v>45</v>
      </c>
      <c r="L5" s="29">
        <v>60</v>
      </c>
      <c r="M5" s="29">
        <v>43</v>
      </c>
      <c r="N5" s="29">
        <v>48</v>
      </c>
      <c r="O5" s="29">
        <v>32</v>
      </c>
      <c r="P5" s="29">
        <v>15</v>
      </c>
      <c r="Q5" s="29">
        <v>17</v>
      </c>
      <c r="R5" s="29">
        <v>27</v>
      </c>
      <c r="S5" s="29">
        <v>23</v>
      </c>
      <c r="T5" s="29">
        <v>20</v>
      </c>
      <c r="U5" s="29">
        <v>12</v>
      </c>
      <c r="V5" s="29">
        <v>12</v>
      </c>
      <c r="W5" s="29">
        <v>9</v>
      </c>
      <c r="X5" s="29">
        <v>5</v>
      </c>
      <c r="Y5" s="29">
        <v>8</v>
      </c>
      <c r="Z5" s="29">
        <v>18</v>
      </c>
      <c r="AA5" s="29">
        <v>18</v>
      </c>
      <c r="AB5" s="29">
        <v>13</v>
      </c>
      <c r="AC5" s="29">
        <v>9</v>
      </c>
      <c r="AD5" s="29">
        <v>2</v>
      </c>
      <c r="AE5" s="29">
        <v>2</v>
      </c>
      <c r="AF5" s="29">
        <v>2</v>
      </c>
    </row>
    <row r="6" spans="1:76" ht="15" customHeight="1" x14ac:dyDescent="0.15">
      <c r="A6" s="27" t="s">
        <v>139</v>
      </c>
      <c r="B6" s="29">
        <v>12</v>
      </c>
      <c r="C6" s="29">
        <v>3</v>
      </c>
      <c r="D6" s="29">
        <v>0</v>
      </c>
      <c r="E6" s="29">
        <v>1</v>
      </c>
      <c r="F6" s="29">
        <v>8</v>
      </c>
      <c r="G6" s="29">
        <v>8</v>
      </c>
      <c r="H6" s="29">
        <v>0</v>
      </c>
      <c r="I6" s="29">
        <v>0</v>
      </c>
      <c r="J6" s="29">
        <v>0</v>
      </c>
      <c r="K6" s="29">
        <v>1</v>
      </c>
      <c r="L6" s="29">
        <v>27</v>
      </c>
      <c r="M6" s="29">
        <v>28</v>
      </c>
      <c r="N6" s="29">
        <v>0</v>
      </c>
      <c r="O6" s="29">
        <v>0</v>
      </c>
      <c r="P6" s="29">
        <v>0</v>
      </c>
      <c r="Q6" s="29">
        <v>0</v>
      </c>
      <c r="R6" s="29">
        <v>19</v>
      </c>
      <c r="S6" s="29">
        <v>19</v>
      </c>
      <c r="T6" s="29">
        <v>0</v>
      </c>
      <c r="U6" s="29">
        <v>0</v>
      </c>
      <c r="V6" s="29">
        <v>0</v>
      </c>
      <c r="W6" s="29">
        <v>0</v>
      </c>
      <c r="X6" s="29">
        <v>0</v>
      </c>
      <c r="Y6" s="29">
        <v>0</v>
      </c>
      <c r="Z6" s="29">
        <v>0</v>
      </c>
      <c r="AA6" s="29">
        <v>0</v>
      </c>
      <c r="AB6" s="29">
        <v>0</v>
      </c>
      <c r="AC6" s="29">
        <v>0</v>
      </c>
      <c r="AD6" s="29">
        <v>0</v>
      </c>
      <c r="AE6" s="29">
        <v>0</v>
      </c>
      <c r="AF6" s="29">
        <v>0</v>
      </c>
    </row>
    <row r="7" spans="1:76" ht="15" customHeight="1" x14ac:dyDescent="0.15">
      <c r="A7" s="27" t="s">
        <v>140</v>
      </c>
      <c r="B7" s="29">
        <v>189</v>
      </c>
      <c r="C7" s="29">
        <v>237</v>
      </c>
      <c r="D7" s="29">
        <v>240</v>
      </c>
      <c r="E7" s="29">
        <v>239</v>
      </c>
      <c r="F7" s="29">
        <v>232</v>
      </c>
      <c r="G7" s="29">
        <v>184</v>
      </c>
      <c r="H7" s="29">
        <v>138</v>
      </c>
      <c r="I7" s="29">
        <v>61</v>
      </c>
      <c r="J7" s="29">
        <v>37</v>
      </c>
      <c r="K7" s="29">
        <v>51</v>
      </c>
      <c r="L7" s="29">
        <v>58</v>
      </c>
      <c r="M7" s="29">
        <v>70</v>
      </c>
      <c r="N7" s="29">
        <v>111</v>
      </c>
      <c r="O7" s="29">
        <v>111</v>
      </c>
      <c r="P7" s="29">
        <v>82</v>
      </c>
      <c r="Q7" s="29">
        <v>79</v>
      </c>
      <c r="R7" s="29">
        <v>96</v>
      </c>
      <c r="S7" s="29">
        <v>95</v>
      </c>
      <c r="T7" s="29">
        <v>93</v>
      </c>
      <c r="U7" s="29">
        <v>105</v>
      </c>
      <c r="V7" s="29">
        <v>109</v>
      </c>
      <c r="W7" s="29">
        <v>86</v>
      </c>
      <c r="X7" s="29">
        <v>73</v>
      </c>
      <c r="Y7" s="29">
        <v>80</v>
      </c>
      <c r="Z7" s="29">
        <v>93</v>
      </c>
      <c r="AA7" s="29">
        <v>94</v>
      </c>
      <c r="AB7" s="29">
        <v>108</v>
      </c>
      <c r="AC7" s="29">
        <v>108</v>
      </c>
      <c r="AD7" s="29">
        <v>80</v>
      </c>
      <c r="AE7" s="29">
        <v>71</v>
      </c>
      <c r="AF7" s="29">
        <v>76</v>
      </c>
    </row>
    <row r="8" spans="1:76" ht="15" customHeight="1" x14ac:dyDescent="0.15">
      <c r="A8" s="27" t="s">
        <v>141</v>
      </c>
      <c r="B8" s="29">
        <v>14</v>
      </c>
      <c r="C8" s="29">
        <v>3</v>
      </c>
      <c r="D8" s="29">
        <v>0</v>
      </c>
      <c r="E8" s="29">
        <v>1</v>
      </c>
      <c r="F8" s="29">
        <v>8</v>
      </c>
      <c r="G8" s="29">
        <v>10</v>
      </c>
      <c r="H8" s="29">
        <v>1</v>
      </c>
      <c r="I8" s="29">
        <v>1</v>
      </c>
      <c r="J8" s="29">
        <v>1</v>
      </c>
      <c r="K8" s="29">
        <v>1</v>
      </c>
      <c r="L8" s="29">
        <v>28</v>
      </c>
      <c r="M8" s="29">
        <v>28</v>
      </c>
      <c r="N8" s="29">
        <v>4</v>
      </c>
      <c r="O8" s="29">
        <v>5</v>
      </c>
      <c r="P8" s="29">
        <v>4</v>
      </c>
      <c r="Q8" s="29">
        <v>5</v>
      </c>
      <c r="R8" s="29">
        <v>22</v>
      </c>
      <c r="S8" s="29">
        <v>21</v>
      </c>
      <c r="T8" s="29">
        <v>9</v>
      </c>
      <c r="U8" s="29">
        <v>12</v>
      </c>
      <c r="V8" s="29">
        <v>11</v>
      </c>
      <c r="W8" s="29">
        <v>7</v>
      </c>
      <c r="X8" s="29">
        <v>8</v>
      </c>
      <c r="Y8" s="29">
        <v>9</v>
      </c>
      <c r="Z8" s="29">
        <v>10</v>
      </c>
      <c r="AA8" s="29">
        <v>11</v>
      </c>
      <c r="AB8" s="29">
        <v>14</v>
      </c>
      <c r="AC8" s="29">
        <v>13</v>
      </c>
      <c r="AD8" s="29">
        <v>9</v>
      </c>
      <c r="AE8" s="29">
        <v>10</v>
      </c>
      <c r="AF8" s="29">
        <v>10</v>
      </c>
    </row>
    <row r="9" spans="1:76" ht="15" customHeight="1" thickBot="1" x14ac:dyDescent="0.2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</row>
    <row r="10" spans="1:76" ht="19.5" customHeight="1" x14ac:dyDescent="0.15">
      <c r="A10" s="26" t="s">
        <v>74</v>
      </c>
      <c r="B10" s="30" t="s">
        <v>106</v>
      </c>
      <c r="C10" s="30" t="s">
        <v>107</v>
      </c>
      <c r="D10" s="30" t="s">
        <v>108</v>
      </c>
      <c r="E10" s="30" t="s">
        <v>109</v>
      </c>
      <c r="F10" s="30" t="s">
        <v>110</v>
      </c>
      <c r="G10" s="30" t="s">
        <v>111</v>
      </c>
      <c r="H10" s="30" t="s">
        <v>112</v>
      </c>
      <c r="I10" s="30" t="s">
        <v>113</v>
      </c>
      <c r="J10" s="30" t="s">
        <v>114</v>
      </c>
      <c r="K10" s="30" t="s">
        <v>115</v>
      </c>
      <c r="L10" s="30" t="s">
        <v>116</v>
      </c>
      <c r="M10" s="30" t="s">
        <v>117</v>
      </c>
      <c r="N10" s="30" t="s">
        <v>118</v>
      </c>
      <c r="O10" s="30" t="s">
        <v>119</v>
      </c>
      <c r="P10" s="30" t="s">
        <v>120</v>
      </c>
      <c r="Q10" s="30" t="s">
        <v>121</v>
      </c>
      <c r="R10" s="30" t="s">
        <v>122</v>
      </c>
      <c r="S10" s="30" t="s">
        <v>123</v>
      </c>
      <c r="T10" s="30" t="s">
        <v>124</v>
      </c>
      <c r="U10" s="30" t="s">
        <v>125</v>
      </c>
      <c r="V10" s="30" t="s">
        <v>126</v>
      </c>
      <c r="W10" s="30" t="s">
        <v>127</v>
      </c>
      <c r="X10" s="30" t="s">
        <v>128</v>
      </c>
      <c r="Y10" s="30" t="s">
        <v>129</v>
      </c>
      <c r="Z10" s="30" t="s">
        <v>130</v>
      </c>
      <c r="AA10" s="30" t="s">
        <v>131</v>
      </c>
      <c r="AB10" s="30" t="s">
        <v>132</v>
      </c>
      <c r="AC10" s="30" t="s">
        <v>133</v>
      </c>
      <c r="AD10" s="30" t="s">
        <v>134</v>
      </c>
      <c r="AE10" s="30" t="s">
        <v>135</v>
      </c>
      <c r="AF10" s="30" t="s">
        <v>136</v>
      </c>
    </row>
    <row r="11" spans="1:76" ht="15" customHeight="1" x14ac:dyDescent="0.15">
      <c r="A11" s="27" t="s">
        <v>137</v>
      </c>
      <c r="B11" s="29">
        <v>240</v>
      </c>
      <c r="C11" s="29">
        <v>240</v>
      </c>
      <c r="D11" s="29">
        <v>240</v>
      </c>
      <c r="E11" s="29">
        <v>240</v>
      </c>
      <c r="F11" s="29">
        <v>240</v>
      </c>
      <c r="G11" s="29">
        <v>240</v>
      </c>
      <c r="H11" s="29">
        <v>240</v>
      </c>
      <c r="I11" s="29">
        <v>240</v>
      </c>
      <c r="J11" s="29">
        <v>240</v>
      </c>
      <c r="K11" s="29">
        <v>240</v>
      </c>
      <c r="L11" s="29">
        <v>240</v>
      </c>
      <c r="M11" s="29">
        <v>240</v>
      </c>
      <c r="N11" s="29">
        <v>240</v>
      </c>
      <c r="O11" s="29">
        <v>240</v>
      </c>
      <c r="P11" s="29">
        <v>240</v>
      </c>
      <c r="Q11" s="29">
        <v>240</v>
      </c>
      <c r="R11" s="29">
        <v>240</v>
      </c>
      <c r="S11" s="29">
        <v>240</v>
      </c>
      <c r="T11" s="29">
        <v>240</v>
      </c>
      <c r="U11" s="29">
        <v>240</v>
      </c>
      <c r="V11" s="29">
        <v>240</v>
      </c>
      <c r="W11" s="29">
        <v>240</v>
      </c>
      <c r="X11" s="29">
        <v>240</v>
      </c>
      <c r="Y11" s="29">
        <v>240</v>
      </c>
      <c r="Z11" s="29">
        <v>240</v>
      </c>
      <c r="AA11" s="29">
        <v>240</v>
      </c>
      <c r="AB11" s="29">
        <v>240</v>
      </c>
      <c r="AC11" s="29">
        <v>240</v>
      </c>
      <c r="AD11" s="29">
        <v>240</v>
      </c>
      <c r="AE11" s="29">
        <v>240</v>
      </c>
      <c r="AF11" s="29">
        <v>240</v>
      </c>
    </row>
    <row r="12" spans="1:76" ht="15" customHeight="1" x14ac:dyDescent="0.15">
      <c r="A12" s="27" t="s">
        <v>138</v>
      </c>
      <c r="B12" s="29">
        <v>155</v>
      </c>
      <c r="C12" s="29">
        <v>190</v>
      </c>
      <c r="D12" s="29">
        <v>239</v>
      </c>
      <c r="E12" s="29">
        <v>237</v>
      </c>
      <c r="F12" s="29">
        <v>212</v>
      </c>
      <c r="G12" s="29">
        <v>107</v>
      </c>
      <c r="H12" s="29">
        <v>69</v>
      </c>
      <c r="I12" s="29">
        <v>65</v>
      </c>
      <c r="J12" s="29">
        <v>63</v>
      </c>
      <c r="K12" s="29">
        <v>96</v>
      </c>
      <c r="L12" s="29">
        <v>73</v>
      </c>
      <c r="M12" s="29">
        <v>74</v>
      </c>
      <c r="N12" s="29">
        <v>91</v>
      </c>
      <c r="O12" s="29">
        <v>105</v>
      </c>
      <c r="P12" s="29">
        <v>96</v>
      </c>
      <c r="Q12" s="29">
        <v>69</v>
      </c>
      <c r="R12" s="29">
        <v>89</v>
      </c>
      <c r="S12" s="29">
        <v>87</v>
      </c>
      <c r="T12" s="29">
        <v>86</v>
      </c>
      <c r="U12" s="29">
        <v>110</v>
      </c>
      <c r="V12" s="29">
        <v>133</v>
      </c>
      <c r="W12" s="29">
        <v>122</v>
      </c>
      <c r="X12" s="29">
        <v>79</v>
      </c>
      <c r="Y12" s="29">
        <v>61</v>
      </c>
      <c r="Z12" s="29">
        <v>76</v>
      </c>
      <c r="AA12" s="29">
        <v>86</v>
      </c>
      <c r="AB12" s="29">
        <v>86</v>
      </c>
      <c r="AC12" s="29">
        <v>122</v>
      </c>
      <c r="AD12" s="29">
        <v>111</v>
      </c>
      <c r="AE12" s="29">
        <v>84</v>
      </c>
      <c r="AF12" s="29">
        <v>65</v>
      </c>
    </row>
    <row r="13" spans="1:76" ht="15" customHeight="1" x14ac:dyDescent="0.15">
      <c r="A13" s="27" t="s">
        <v>139</v>
      </c>
      <c r="B13" s="29">
        <v>9</v>
      </c>
      <c r="C13" s="29">
        <v>13</v>
      </c>
      <c r="D13" s="29">
        <v>0</v>
      </c>
      <c r="E13" s="29">
        <v>0</v>
      </c>
      <c r="F13" s="29">
        <v>0</v>
      </c>
      <c r="G13" s="29">
        <v>0</v>
      </c>
      <c r="H13" s="29">
        <v>0</v>
      </c>
      <c r="I13" s="29">
        <v>0</v>
      </c>
      <c r="J13" s="29">
        <v>2</v>
      </c>
      <c r="K13" s="29">
        <v>26</v>
      </c>
      <c r="L13" s="29">
        <v>7</v>
      </c>
      <c r="M13" s="29">
        <v>0</v>
      </c>
      <c r="N13" s="29">
        <v>0</v>
      </c>
      <c r="O13" s="29">
        <v>0</v>
      </c>
      <c r="P13" s="29">
        <v>1</v>
      </c>
      <c r="Q13" s="29">
        <v>1</v>
      </c>
      <c r="R13" s="29">
        <v>7</v>
      </c>
      <c r="S13" s="29">
        <v>0</v>
      </c>
      <c r="T13" s="29">
        <v>7</v>
      </c>
      <c r="U13" s="29">
        <v>19</v>
      </c>
      <c r="V13" s="29">
        <v>52</v>
      </c>
      <c r="W13" s="29">
        <v>34</v>
      </c>
      <c r="X13" s="29">
        <v>2</v>
      </c>
      <c r="Y13" s="29">
        <v>6</v>
      </c>
      <c r="Z13" s="29">
        <v>6</v>
      </c>
      <c r="AA13" s="29">
        <v>0</v>
      </c>
      <c r="AB13" s="29">
        <v>0</v>
      </c>
      <c r="AC13" s="29">
        <v>0</v>
      </c>
      <c r="AD13" s="29">
        <v>3</v>
      </c>
      <c r="AE13" s="29">
        <v>0</v>
      </c>
      <c r="AF13" s="29">
        <v>5</v>
      </c>
    </row>
    <row r="14" spans="1:76" ht="15" customHeight="1" x14ac:dyDescent="0.15">
      <c r="A14" s="27" t="s">
        <v>140</v>
      </c>
      <c r="B14" s="29">
        <v>148</v>
      </c>
      <c r="C14" s="29">
        <v>180</v>
      </c>
      <c r="D14" s="29">
        <v>235</v>
      </c>
      <c r="E14" s="29">
        <v>227</v>
      </c>
      <c r="F14" s="29">
        <v>197</v>
      </c>
      <c r="G14" s="29">
        <v>102</v>
      </c>
      <c r="H14" s="29">
        <v>75</v>
      </c>
      <c r="I14" s="29">
        <v>51</v>
      </c>
      <c r="J14" s="29">
        <v>63</v>
      </c>
      <c r="K14" s="29">
        <v>73</v>
      </c>
      <c r="L14" s="29">
        <v>67</v>
      </c>
      <c r="M14" s="29">
        <v>64</v>
      </c>
      <c r="N14" s="29">
        <v>78</v>
      </c>
      <c r="O14" s="29">
        <v>86</v>
      </c>
      <c r="P14" s="29">
        <v>88</v>
      </c>
      <c r="Q14" s="29">
        <v>72</v>
      </c>
      <c r="R14" s="29">
        <v>68</v>
      </c>
      <c r="S14" s="29">
        <v>69</v>
      </c>
      <c r="T14" s="29">
        <v>80</v>
      </c>
      <c r="U14" s="29">
        <v>92</v>
      </c>
      <c r="V14" s="29">
        <v>108</v>
      </c>
      <c r="W14" s="29">
        <v>99</v>
      </c>
      <c r="X14" s="29">
        <v>77</v>
      </c>
      <c r="Y14" s="29">
        <v>47</v>
      </c>
      <c r="Z14" s="29">
        <v>63</v>
      </c>
      <c r="AA14" s="29">
        <v>73</v>
      </c>
      <c r="AB14" s="29">
        <v>81</v>
      </c>
      <c r="AC14" s="29">
        <v>94</v>
      </c>
      <c r="AD14" s="29">
        <v>102</v>
      </c>
      <c r="AE14" s="29">
        <v>66</v>
      </c>
      <c r="AF14" s="29">
        <v>57</v>
      </c>
    </row>
    <row r="15" spans="1:76" ht="15" customHeight="1" x14ac:dyDescent="0.15">
      <c r="A15" s="27" t="s">
        <v>141</v>
      </c>
      <c r="B15" s="29">
        <v>16</v>
      </c>
      <c r="C15" s="29">
        <v>13</v>
      </c>
      <c r="D15" s="29">
        <v>2</v>
      </c>
      <c r="E15" s="29">
        <v>2</v>
      </c>
      <c r="F15" s="29">
        <v>3</v>
      </c>
      <c r="G15" s="29">
        <v>2</v>
      </c>
      <c r="H15" s="29">
        <v>2</v>
      </c>
      <c r="I15" s="29">
        <v>3</v>
      </c>
      <c r="J15" s="29">
        <v>3</v>
      </c>
      <c r="K15" s="29">
        <v>25</v>
      </c>
      <c r="L15" s="29">
        <v>9</v>
      </c>
      <c r="M15" s="29">
        <v>3</v>
      </c>
      <c r="N15" s="29">
        <v>2</v>
      </c>
      <c r="O15" s="29">
        <v>2</v>
      </c>
      <c r="P15" s="29">
        <v>3</v>
      </c>
      <c r="Q15" s="29">
        <v>5</v>
      </c>
      <c r="R15" s="29">
        <v>10</v>
      </c>
      <c r="S15" s="29">
        <v>2</v>
      </c>
      <c r="T15" s="29">
        <v>9</v>
      </c>
      <c r="U15" s="29">
        <v>15</v>
      </c>
      <c r="V15" s="29">
        <v>43</v>
      </c>
      <c r="W15" s="29">
        <v>25</v>
      </c>
      <c r="X15" s="29">
        <v>4</v>
      </c>
      <c r="Y15" s="29">
        <v>2</v>
      </c>
      <c r="Z15" s="29">
        <v>8</v>
      </c>
      <c r="AA15" s="29">
        <v>2</v>
      </c>
      <c r="AB15" s="29">
        <v>2</v>
      </c>
      <c r="AC15" s="29">
        <v>2</v>
      </c>
      <c r="AD15" s="29">
        <v>5</v>
      </c>
      <c r="AE15" s="29">
        <v>4</v>
      </c>
      <c r="AF15" s="29">
        <v>5</v>
      </c>
    </row>
    <row r="16" spans="1:76" ht="15" customHeight="1" x14ac:dyDescent="0.15"/>
    <row r="17" ht="15" customHeight="1" x14ac:dyDescent="0.15"/>
    <row r="18" ht="15" customHeight="1" x14ac:dyDescent="0.15"/>
    <row r="19" ht="15" customHeight="1" x14ac:dyDescent="0.15"/>
    <row r="20" ht="15" customHeight="1" x14ac:dyDescent="0.15"/>
    <row r="21" ht="15" customHeight="1" x14ac:dyDescent="0.15"/>
    <row r="22" ht="15" customHeight="1" x14ac:dyDescent="0.15"/>
    <row r="23" ht="15" customHeight="1" x14ac:dyDescent="0.15"/>
    <row r="24" ht="15" customHeight="1" x14ac:dyDescent="0.15"/>
    <row r="25" ht="15" customHeight="1" x14ac:dyDescent="0.15"/>
    <row r="26" ht="15" customHeight="1" x14ac:dyDescent="0.15"/>
    <row r="27" ht="15" customHeight="1" x14ac:dyDescent="0.15"/>
    <row r="28" ht="15" customHeight="1" x14ac:dyDescent="0.15"/>
    <row r="29" ht="15" customHeight="1" x14ac:dyDescent="0.15"/>
    <row r="30" ht="15" customHeight="1" x14ac:dyDescent="0.15"/>
    <row r="31" ht="15" customHeight="1" x14ac:dyDescent="0.15"/>
    <row r="32" ht="15" customHeight="1" x14ac:dyDescent="0.15"/>
    <row r="33" spans="8:25" ht="15" customHeight="1" x14ac:dyDescent="0.15"/>
    <row r="34" spans="8:25" ht="15" customHeight="1" x14ac:dyDescent="0.15"/>
    <row r="35" spans="8:25" ht="15" customHeight="1" x14ac:dyDescent="0.15"/>
    <row r="36" spans="8:25" ht="15" customHeight="1" x14ac:dyDescent="0.15"/>
    <row r="37" spans="8:25" ht="15" customHeight="1" x14ac:dyDescent="0.15"/>
    <row r="38" spans="8:25" ht="15" customHeight="1" x14ac:dyDescent="0.15"/>
    <row r="39" spans="8:25" ht="15" customHeight="1" x14ac:dyDescent="0.15">
      <c r="H39" s="38">
        <v>2017</v>
      </c>
      <c r="I39" s="38"/>
      <c r="J39" s="38"/>
      <c r="W39" s="38">
        <v>2016</v>
      </c>
      <c r="X39" s="38"/>
      <c r="Y39" s="38"/>
    </row>
    <row r="40" spans="8:25" ht="15" customHeight="1" x14ac:dyDescent="0.15"/>
    <row r="41" spans="8:25" ht="15" customHeight="1" x14ac:dyDescent="0.15"/>
    <row r="42" spans="8:25" ht="15" customHeight="1" x14ac:dyDescent="0.15"/>
    <row r="43" spans="8:25" ht="15" customHeight="1" x14ac:dyDescent="0.15"/>
    <row r="44" spans="8:25" ht="15" customHeight="1" x14ac:dyDescent="0.15"/>
    <row r="45" spans="8:25" ht="15" customHeight="1" x14ac:dyDescent="0.15"/>
    <row r="46" spans="8:25" ht="15" customHeight="1" x14ac:dyDescent="0.15"/>
    <row r="47" spans="8:25" ht="15" customHeight="1" x14ac:dyDescent="0.15"/>
    <row r="48" spans="8:25" ht="15" customHeight="1" x14ac:dyDescent="0.15"/>
    <row r="49" ht="15" customHeight="1" x14ac:dyDescent="0.15"/>
    <row r="50" ht="15" customHeight="1" x14ac:dyDescent="0.15"/>
    <row r="51" ht="15" customHeight="1" x14ac:dyDescent="0.15"/>
    <row r="52" ht="15" customHeight="1" x14ac:dyDescent="0.15"/>
    <row r="53" ht="15" customHeight="1" x14ac:dyDescent="0.15"/>
    <row r="54" ht="15" customHeight="1" x14ac:dyDescent="0.15"/>
    <row r="55" ht="15" customHeight="1" x14ac:dyDescent="0.15"/>
    <row r="56" ht="15" customHeight="1" x14ac:dyDescent="0.15"/>
    <row r="57" ht="15" customHeight="1" x14ac:dyDescent="0.15"/>
    <row r="58" ht="15" customHeight="1" x14ac:dyDescent="0.15"/>
    <row r="59" ht="15" customHeight="1" x14ac:dyDescent="0.15"/>
    <row r="60" ht="15" customHeight="1" x14ac:dyDescent="0.15"/>
    <row r="61" ht="15" customHeight="1" x14ac:dyDescent="0.15"/>
    <row r="62" ht="15" customHeight="1" x14ac:dyDescent="0.15"/>
    <row r="63" ht="15" customHeight="1" x14ac:dyDescent="0.15"/>
    <row r="64" ht="15" customHeight="1" x14ac:dyDescent="0.15"/>
    <row r="65" ht="15" customHeight="1" x14ac:dyDescent="0.15"/>
    <row r="66" ht="15" customHeight="1" x14ac:dyDescent="0.15"/>
    <row r="67" ht="15" customHeight="1" x14ac:dyDescent="0.15"/>
    <row r="68" ht="15" customHeight="1" x14ac:dyDescent="0.15"/>
    <row r="69" ht="15" customHeight="1" x14ac:dyDescent="0.15"/>
    <row r="70" ht="15" customHeight="1" x14ac:dyDescent="0.15"/>
    <row r="71" ht="15" customHeight="1" x14ac:dyDescent="0.15"/>
    <row r="72" ht="15" customHeight="1" x14ac:dyDescent="0.15"/>
    <row r="73" ht="15" customHeight="1" x14ac:dyDescent="0.15"/>
    <row r="74" ht="15" customHeight="1" x14ac:dyDescent="0.15"/>
    <row r="75" ht="15" customHeight="1" x14ac:dyDescent="0.15"/>
    <row r="76" ht="15" customHeight="1" x14ac:dyDescent="0.15"/>
    <row r="77" ht="15" customHeight="1" x14ac:dyDescent="0.15"/>
    <row r="78" ht="15" customHeight="1" x14ac:dyDescent="0.15"/>
    <row r="79" ht="15" customHeight="1" x14ac:dyDescent="0.15"/>
    <row r="80" ht="15" customHeight="1" x14ac:dyDescent="0.15"/>
    <row r="81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1" ht="15" customHeight="1" x14ac:dyDescent="0.15"/>
    <row r="172" ht="15" customHeight="1" x14ac:dyDescent="0.15"/>
    <row r="173" ht="15" customHeight="1" x14ac:dyDescent="0.15"/>
    <row r="174" ht="15" customHeight="1" x14ac:dyDescent="0.15"/>
    <row r="175" ht="15" customHeight="1" x14ac:dyDescent="0.15"/>
    <row r="176" ht="15" customHeight="1" x14ac:dyDescent="0.15"/>
    <row r="177" ht="15" customHeight="1" x14ac:dyDescent="0.15"/>
    <row r="178" ht="15" customHeight="1" x14ac:dyDescent="0.15"/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</sheetData>
  <mergeCells count="2">
    <mergeCell ref="H39:J39"/>
    <mergeCell ref="W39:Y39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Drop Down 1">
              <controlPr defaultSize="0" autoLine="0" autoPict="0">
                <anchor>
                  <from>
                    <xdr:col>3</xdr:col>
                    <xdr:colOff>0</xdr:colOff>
                    <xdr:row>0</xdr:row>
                    <xdr:rowOff>9525</xdr:rowOff>
                  </from>
                  <to>
                    <xdr:col>6</xdr:col>
                    <xdr:colOff>523875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Drop Down 2">
              <controlPr defaultSize="0" autoLine="0" autoPict="0">
                <anchor>
                  <from>
                    <xdr:col>7</xdr:col>
                    <xdr:colOff>542925</xdr:colOff>
                    <xdr:row>0</xdr:row>
                    <xdr:rowOff>9525</xdr:rowOff>
                  </from>
                  <to>
                    <xdr:col>8</xdr:col>
                    <xdr:colOff>533400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Business_Type_Report">
                <anchor moveWithCells="1" sizeWithCells="1">
                  <from>
                    <xdr:col>10</xdr:col>
                    <xdr:colOff>9525</xdr:colOff>
                    <xdr:row>0</xdr:row>
                    <xdr:rowOff>0</xdr:rowOff>
                  </from>
                  <to>
                    <xdr:col>13</xdr:col>
                    <xdr:colOff>523875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BX185"/>
  <sheetViews>
    <sheetView zoomScale="70" zoomScaleNormal="70" workbookViewId="0">
      <selection activeCell="A13" sqref="A13"/>
    </sheetView>
  </sheetViews>
  <sheetFormatPr defaultColWidth="7.125" defaultRowHeight="13.5" x14ac:dyDescent="0.15"/>
  <cols>
    <col min="1" max="1" width="15.875" style="7" customWidth="1"/>
    <col min="2" max="5" width="7.125" style="7"/>
    <col min="6" max="6" width="7.5" style="7" bestFit="1" customWidth="1"/>
    <col min="7" max="16384" width="7.125" style="7"/>
  </cols>
  <sheetData>
    <row r="1" spans="1:76" customFormat="1" ht="20.100000000000001" customHeight="1" thickBot="1" x14ac:dyDescent="0.2">
      <c r="A1" s="31">
        <f>A_Glance!A1</f>
        <v>43024</v>
      </c>
      <c r="B1" s="7"/>
      <c r="C1" s="7"/>
      <c r="D1" s="7">
        <f>A_Glance!$D$1</f>
        <v>1</v>
      </c>
      <c r="E1" s="24" t="str">
        <f>VLOOKUP(D1,Config!$A$1:$B$65,2,FALSE)</f>
        <v>Wanda Reign Chengdu</v>
      </c>
      <c r="F1" s="7"/>
      <c r="G1" s="7"/>
      <c r="H1" s="22">
        <f>A_Glance!$H$1</f>
        <v>2017</v>
      </c>
      <c r="I1" s="25">
        <f>A_Glance!$I$1</f>
        <v>10</v>
      </c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</row>
    <row r="2" spans="1:76" customFormat="1" ht="15" customHeight="1" thickBot="1" x14ac:dyDescent="0.2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</row>
    <row r="3" spans="1:76" ht="19.5" customHeight="1" x14ac:dyDescent="0.15">
      <c r="A3" s="26" t="s">
        <v>74</v>
      </c>
      <c r="B3" s="23" t="s">
        <v>75</v>
      </c>
      <c r="C3" s="23" t="s">
        <v>76</v>
      </c>
      <c r="D3" s="23" t="s">
        <v>77</v>
      </c>
      <c r="E3" s="23" t="s">
        <v>78</v>
      </c>
      <c r="F3" s="23" t="s">
        <v>79</v>
      </c>
      <c r="G3" s="23" t="s">
        <v>80</v>
      </c>
      <c r="H3" s="23" t="s">
        <v>81</v>
      </c>
      <c r="I3" s="23" t="s">
        <v>82</v>
      </c>
      <c r="J3" s="23" t="s">
        <v>83</v>
      </c>
      <c r="K3" s="23" t="s">
        <v>84</v>
      </c>
      <c r="L3" s="23" t="s">
        <v>85</v>
      </c>
      <c r="M3" s="23" t="s">
        <v>86</v>
      </c>
      <c r="N3" s="23" t="s">
        <v>87</v>
      </c>
      <c r="O3" s="23" t="s">
        <v>88</v>
      </c>
      <c r="P3" s="23" t="s">
        <v>89</v>
      </c>
      <c r="Q3" s="23" t="s">
        <v>90</v>
      </c>
      <c r="R3" s="23" t="s">
        <v>91</v>
      </c>
      <c r="S3" s="23" t="s">
        <v>92</v>
      </c>
      <c r="T3" s="23" t="s">
        <v>93</v>
      </c>
      <c r="U3" s="23" t="s">
        <v>94</v>
      </c>
      <c r="V3" s="23" t="s">
        <v>95</v>
      </c>
      <c r="W3" s="23" t="s">
        <v>96</v>
      </c>
      <c r="X3" s="23" t="s">
        <v>97</v>
      </c>
      <c r="Y3" s="23" t="s">
        <v>98</v>
      </c>
      <c r="Z3" s="23" t="s">
        <v>99</v>
      </c>
      <c r="AA3" s="23" t="s">
        <v>100</v>
      </c>
      <c r="AB3" s="23" t="s">
        <v>101</v>
      </c>
      <c r="AC3" s="23" t="s">
        <v>102</v>
      </c>
      <c r="AD3" s="23" t="s">
        <v>103</v>
      </c>
      <c r="AE3" s="23" t="s">
        <v>104</v>
      </c>
      <c r="AF3" s="23" t="s">
        <v>105</v>
      </c>
    </row>
    <row r="4" spans="1:76" ht="15" customHeight="1" x14ac:dyDescent="0.15">
      <c r="A4" s="27" t="s">
        <v>142</v>
      </c>
      <c r="B4" s="29">
        <v>957.46907514450868</v>
      </c>
      <c r="C4" s="29">
        <v>1157.0998245614035</v>
      </c>
      <c r="D4" s="29">
        <v>1247.4598333333333</v>
      </c>
      <c r="E4" s="29">
        <v>1211.0353361344537</v>
      </c>
      <c r="F4" s="29">
        <v>1150.9672807017544</v>
      </c>
      <c r="G4" s="29">
        <v>1086.5435678391962</v>
      </c>
      <c r="H4" s="29">
        <v>1054.2233576642336</v>
      </c>
      <c r="I4" s="29">
        <v>1022.3172413793104</v>
      </c>
      <c r="J4" s="29">
        <v>1043.1015789473684</v>
      </c>
      <c r="K4" s="29">
        <v>1149.1647826086958</v>
      </c>
      <c r="L4" s="29">
        <v>861.63873563218397</v>
      </c>
      <c r="M4" s="29">
        <v>925.17058252427194</v>
      </c>
      <c r="N4" s="29">
        <v>1021.5754368932039</v>
      </c>
      <c r="O4" s="29">
        <v>1048.1623008849558</v>
      </c>
      <c r="P4" s="29">
        <v>932.1037681159421</v>
      </c>
      <c r="Q4" s="29">
        <v>850.48261904761898</v>
      </c>
      <c r="R4" s="29">
        <v>881.77811594202899</v>
      </c>
      <c r="S4" s="29">
        <v>863.09134146341466</v>
      </c>
      <c r="T4" s="29">
        <v>808.24796875000004</v>
      </c>
      <c r="U4" s="29">
        <v>708.37166666666667</v>
      </c>
      <c r="V4" s="29">
        <v>879.03655172413801</v>
      </c>
      <c r="W4" s="29">
        <v>918.43500000000006</v>
      </c>
      <c r="X4" s="29">
        <v>1069.626923076923</v>
      </c>
      <c r="Y4" s="29">
        <v>819.13666666666666</v>
      </c>
      <c r="Z4" s="29">
        <v>866.64458333333334</v>
      </c>
      <c r="AA4" s="29">
        <v>814.61399999999992</v>
      </c>
      <c r="AB4" s="29">
        <v>931.79466666666667</v>
      </c>
      <c r="AC4" s="29">
        <v>812.63777777777773</v>
      </c>
      <c r="AD4" s="29">
        <v>0</v>
      </c>
      <c r="AE4" s="29">
        <v>0</v>
      </c>
      <c r="AF4" s="29">
        <v>0</v>
      </c>
    </row>
    <row r="5" spans="1:76" ht="15" customHeight="1" x14ac:dyDescent="0.15">
      <c r="A5" s="27" t="s">
        <v>143</v>
      </c>
      <c r="B5" s="29">
        <v>0</v>
      </c>
      <c r="C5" s="29">
        <v>994.76</v>
      </c>
      <c r="D5" s="29">
        <v>5957.18</v>
      </c>
      <c r="E5" s="29">
        <v>1646.5</v>
      </c>
      <c r="F5" s="29">
        <v>1342.51</v>
      </c>
      <c r="G5" s="29">
        <v>0</v>
      </c>
      <c r="H5" s="29">
        <v>0</v>
      </c>
      <c r="I5" s="29">
        <v>0</v>
      </c>
      <c r="J5" s="29">
        <v>0</v>
      </c>
      <c r="K5" s="29">
        <v>0</v>
      </c>
      <c r="L5" s="29">
        <v>0</v>
      </c>
      <c r="M5" s="29">
        <v>0</v>
      </c>
      <c r="N5" s="29">
        <v>0</v>
      </c>
      <c r="O5" s="29">
        <v>0</v>
      </c>
      <c r="P5" s="29">
        <v>0</v>
      </c>
      <c r="Q5" s="29">
        <v>0</v>
      </c>
      <c r="R5" s="29">
        <v>0</v>
      </c>
      <c r="S5" s="29">
        <v>0</v>
      </c>
      <c r="T5" s="29">
        <v>0</v>
      </c>
      <c r="U5" s="29">
        <v>0</v>
      </c>
      <c r="V5" s="29">
        <v>0</v>
      </c>
      <c r="W5" s="29">
        <v>0</v>
      </c>
      <c r="X5" s="29">
        <v>0</v>
      </c>
      <c r="Y5" s="29">
        <v>0</v>
      </c>
      <c r="Z5" s="29">
        <v>0</v>
      </c>
      <c r="AA5" s="29">
        <v>0</v>
      </c>
      <c r="AB5" s="29">
        <v>0</v>
      </c>
      <c r="AC5" s="29">
        <v>0</v>
      </c>
      <c r="AD5" s="29">
        <v>0</v>
      </c>
      <c r="AE5" s="29">
        <v>0</v>
      </c>
      <c r="AF5" s="29">
        <v>0</v>
      </c>
    </row>
    <row r="6" spans="1:76" ht="15" customHeight="1" x14ac:dyDescent="0.15">
      <c r="A6" s="27" t="s">
        <v>144</v>
      </c>
      <c r="B6" s="29">
        <v>173</v>
      </c>
      <c r="C6" s="29">
        <v>228</v>
      </c>
      <c r="D6" s="29">
        <v>240</v>
      </c>
      <c r="E6" s="29">
        <v>238</v>
      </c>
      <c r="F6" s="29">
        <v>228</v>
      </c>
      <c r="G6" s="29">
        <v>199</v>
      </c>
      <c r="H6" s="29">
        <v>137</v>
      </c>
      <c r="I6" s="29">
        <v>58</v>
      </c>
      <c r="J6" s="29">
        <v>38</v>
      </c>
      <c r="K6" s="29">
        <v>46</v>
      </c>
      <c r="L6" s="29">
        <v>87</v>
      </c>
      <c r="M6" s="29">
        <v>103</v>
      </c>
      <c r="N6" s="29">
        <v>103</v>
      </c>
      <c r="O6" s="29">
        <v>113</v>
      </c>
      <c r="P6" s="29">
        <v>69</v>
      </c>
      <c r="Q6" s="29">
        <v>42</v>
      </c>
      <c r="R6" s="29">
        <v>69</v>
      </c>
      <c r="S6" s="29">
        <v>82</v>
      </c>
      <c r="T6" s="29">
        <v>64</v>
      </c>
      <c r="U6" s="29">
        <v>30</v>
      </c>
      <c r="V6" s="29">
        <v>29</v>
      </c>
      <c r="W6" s="29">
        <v>20</v>
      </c>
      <c r="X6" s="29">
        <v>13</v>
      </c>
      <c r="Y6" s="29">
        <v>15</v>
      </c>
      <c r="Z6" s="29">
        <v>24</v>
      </c>
      <c r="AA6" s="29">
        <v>25</v>
      </c>
      <c r="AB6" s="29">
        <v>15</v>
      </c>
      <c r="AC6" s="29">
        <v>9</v>
      </c>
      <c r="AD6" s="29">
        <v>2</v>
      </c>
      <c r="AE6" s="29">
        <v>2</v>
      </c>
      <c r="AF6" s="29">
        <v>2</v>
      </c>
    </row>
    <row r="7" spans="1:76" ht="15" customHeight="1" x14ac:dyDescent="0.15">
      <c r="A7" s="27" t="s">
        <v>145</v>
      </c>
      <c r="B7" s="29">
        <v>164</v>
      </c>
      <c r="C7" s="29">
        <v>203</v>
      </c>
      <c r="D7" s="29">
        <v>239</v>
      </c>
      <c r="E7" s="29">
        <v>237</v>
      </c>
      <c r="F7" s="29">
        <v>212</v>
      </c>
      <c r="G7" s="29">
        <v>107</v>
      </c>
      <c r="H7" s="29">
        <v>69</v>
      </c>
      <c r="I7" s="29">
        <v>65</v>
      </c>
      <c r="J7" s="29">
        <v>65</v>
      </c>
      <c r="K7" s="29">
        <v>122</v>
      </c>
      <c r="L7" s="29">
        <v>80</v>
      </c>
      <c r="M7" s="29">
        <v>74</v>
      </c>
      <c r="N7" s="29">
        <v>91</v>
      </c>
      <c r="O7" s="29">
        <v>105</v>
      </c>
      <c r="P7" s="29">
        <v>97</v>
      </c>
      <c r="Q7" s="29">
        <v>70</v>
      </c>
      <c r="R7" s="29">
        <v>96</v>
      </c>
      <c r="S7" s="29">
        <v>87</v>
      </c>
      <c r="T7" s="29">
        <v>93</v>
      </c>
      <c r="U7" s="29">
        <v>129</v>
      </c>
      <c r="V7" s="29">
        <v>185</v>
      </c>
      <c r="W7" s="29">
        <v>156</v>
      </c>
      <c r="X7" s="29">
        <v>81</v>
      </c>
      <c r="Y7" s="29">
        <v>67</v>
      </c>
      <c r="Z7" s="29">
        <v>82</v>
      </c>
      <c r="AA7" s="29">
        <v>86</v>
      </c>
      <c r="AB7" s="29">
        <v>86</v>
      </c>
      <c r="AC7" s="29">
        <v>122</v>
      </c>
      <c r="AD7" s="29">
        <v>114</v>
      </c>
      <c r="AE7" s="29">
        <v>84</v>
      </c>
      <c r="AF7" s="29">
        <v>70</v>
      </c>
    </row>
    <row r="8" spans="1:76" ht="15" customHeight="1" x14ac:dyDescent="0.15">
      <c r="A8" s="27" t="s">
        <v>146</v>
      </c>
      <c r="B8" s="29">
        <v>203</v>
      </c>
      <c r="C8" s="29">
        <v>240</v>
      </c>
      <c r="D8" s="29">
        <v>240</v>
      </c>
      <c r="E8" s="29">
        <v>240</v>
      </c>
      <c r="F8" s="29">
        <v>240</v>
      </c>
      <c r="G8" s="29">
        <v>194</v>
      </c>
      <c r="H8" s="29">
        <v>139</v>
      </c>
      <c r="I8" s="29">
        <v>62</v>
      </c>
      <c r="J8" s="29">
        <v>38</v>
      </c>
      <c r="K8" s="29">
        <v>52</v>
      </c>
      <c r="L8" s="29">
        <v>86</v>
      </c>
      <c r="M8" s="29">
        <v>107</v>
      </c>
      <c r="N8" s="29">
        <v>105</v>
      </c>
      <c r="O8" s="29">
        <v>110</v>
      </c>
      <c r="P8" s="29">
        <v>76</v>
      </c>
      <c r="Q8" s="29">
        <v>69</v>
      </c>
      <c r="R8" s="29">
        <v>119</v>
      </c>
      <c r="S8" s="29">
        <v>144</v>
      </c>
      <c r="T8" s="29">
        <v>130</v>
      </c>
      <c r="U8" s="29">
        <v>124</v>
      </c>
      <c r="V8" s="29">
        <v>131</v>
      </c>
      <c r="W8" s="29">
        <v>104</v>
      </c>
      <c r="X8" s="29">
        <v>86</v>
      </c>
      <c r="Y8" s="29">
        <v>95</v>
      </c>
      <c r="Z8" s="29">
        <v>110</v>
      </c>
      <c r="AA8" s="29">
        <v>114</v>
      </c>
      <c r="AB8" s="29">
        <v>124</v>
      </c>
      <c r="AC8" s="29">
        <v>120</v>
      </c>
      <c r="AD8" s="29">
        <v>87</v>
      </c>
      <c r="AE8" s="29">
        <v>81</v>
      </c>
      <c r="AF8" s="29">
        <v>86</v>
      </c>
    </row>
    <row r="9" spans="1:76" ht="15" customHeight="1" x14ac:dyDescent="0.15">
      <c r="A9" s="27" t="s">
        <v>147</v>
      </c>
      <c r="B9" s="29">
        <v>206</v>
      </c>
      <c r="C9" s="29">
        <v>251</v>
      </c>
      <c r="D9" s="29">
        <v>286</v>
      </c>
      <c r="E9" s="29">
        <v>269</v>
      </c>
      <c r="F9" s="29">
        <v>251</v>
      </c>
      <c r="G9" s="29">
        <v>196</v>
      </c>
      <c r="H9" s="29">
        <v>141</v>
      </c>
      <c r="I9" s="29">
        <v>63</v>
      </c>
      <c r="J9" s="29">
        <v>39</v>
      </c>
      <c r="K9" s="29">
        <v>53</v>
      </c>
      <c r="L9" s="29">
        <v>87</v>
      </c>
      <c r="M9" s="29">
        <v>108</v>
      </c>
      <c r="N9" s="29">
        <v>107</v>
      </c>
      <c r="O9" s="29">
        <v>111</v>
      </c>
      <c r="P9" s="29">
        <v>76</v>
      </c>
      <c r="Q9" s="29">
        <v>69</v>
      </c>
      <c r="R9" s="29">
        <v>120</v>
      </c>
      <c r="S9" s="29">
        <v>145</v>
      </c>
      <c r="T9" s="29">
        <v>131</v>
      </c>
      <c r="U9" s="29">
        <v>126</v>
      </c>
      <c r="V9" s="29">
        <v>133</v>
      </c>
      <c r="W9" s="29">
        <v>105</v>
      </c>
      <c r="X9" s="29">
        <v>88</v>
      </c>
      <c r="Y9" s="29">
        <v>95</v>
      </c>
      <c r="Z9" s="29">
        <v>111</v>
      </c>
      <c r="AA9" s="29">
        <v>116</v>
      </c>
      <c r="AB9" s="29">
        <v>126</v>
      </c>
      <c r="AC9" s="29">
        <v>122</v>
      </c>
      <c r="AD9" s="29">
        <v>88</v>
      </c>
      <c r="AE9" s="29">
        <v>81</v>
      </c>
      <c r="AF9" s="29">
        <v>86</v>
      </c>
    </row>
    <row r="10" spans="1:76" ht="15" customHeight="1" x14ac:dyDescent="0.15">
      <c r="A10" s="27" t="s">
        <v>148</v>
      </c>
      <c r="B10" s="29">
        <v>240</v>
      </c>
      <c r="C10" s="29">
        <v>240</v>
      </c>
      <c r="D10" s="29">
        <v>240</v>
      </c>
      <c r="E10" s="29">
        <v>240</v>
      </c>
      <c r="F10" s="29">
        <v>240</v>
      </c>
      <c r="G10" s="29">
        <v>240</v>
      </c>
      <c r="H10" s="29">
        <v>240</v>
      </c>
      <c r="I10" s="29">
        <v>240</v>
      </c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</row>
    <row r="11" spans="1:76" ht="15" customHeight="1" x14ac:dyDescent="0.15">
      <c r="A11" s="27" t="s">
        <v>149</v>
      </c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</row>
    <row r="12" spans="1:76" ht="15" customHeight="1" x14ac:dyDescent="0.15"/>
    <row r="13" spans="1:76" ht="15" customHeight="1" x14ac:dyDescent="0.15"/>
    <row r="14" spans="1:76" ht="15" customHeight="1" x14ac:dyDescent="0.15"/>
    <row r="15" spans="1:76" ht="15" customHeight="1" x14ac:dyDescent="0.15"/>
    <row r="16" spans="1:76" ht="15" customHeight="1" x14ac:dyDescent="0.15"/>
    <row r="17" ht="15" customHeight="1" x14ac:dyDescent="0.15"/>
    <row r="18" ht="15" customHeight="1" x14ac:dyDescent="0.15"/>
    <row r="19" ht="15" customHeight="1" x14ac:dyDescent="0.15"/>
    <row r="20" ht="15" customHeight="1" x14ac:dyDescent="0.15"/>
    <row r="21" ht="15" customHeight="1" x14ac:dyDescent="0.15"/>
    <row r="22" ht="15" customHeight="1" x14ac:dyDescent="0.15"/>
    <row r="23" ht="15" customHeight="1" x14ac:dyDescent="0.15"/>
    <row r="24" ht="15" customHeight="1" x14ac:dyDescent="0.15"/>
    <row r="25" ht="15" customHeight="1" x14ac:dyDescent="0.15"/>
    <row r="26" ht="15" customHeight="1" x14ac:dyDescent="0.15"/>
    <row r="27" ht="15" customHeight="1" x14ac:dyDescent="0.15"/>
    <row r="28" ht="15" customHeight="1" x14ac:dyDescent="0.15"/>
    <row r="29" ht="15" customHeight="1" x14ac:dyDescent="0.15"/>
    <row r="30" ht="15" customHeight="1" x14ac:dyDescent="0.15"/>
    <row r="31" ht="15" customHeight="1" x14ac:dyDescent="0.15"/>
    <row r="32" ht="15" customHeight="1" x14ac:dyDescent="0.15"/>
    <row r="33" spans="8:25" ht="15" customHeight="1" x14ac:dyDescent="0.15">
      <c r="H33" s="38"/>
      <c r="I33" s="38"/>
      <c r="J33" s="38"/>
      <c r="W33" s="38"/>
      <c r="X33" s="38"/>
      <c r="Y33" s="38"/>
    </row>
    <row r="34" spans="8:25" ht="15" customHeight="1" x14ac:dyDescent="0.15"/>
    <row r="35" spans="8:25" ht="15" customHeight="1" x14ac:dyDescent="0.15"/>
    <row r="36" spans="8:25" ht="15" customHeight="1" x14ac:dyDescent="0.15"/>
    <row r="37" spans="8:25" ht="15" customHeight="1" x14ac:dyDescent="0.15"/>
    <row r="38" spans="8:25" ht="15" customHeight="1" x14ac:dyDescent="0.15"/>
    <row r="39" spans="8:25" ht="15" customHeight="1" x14ac:dyDescent="0.15"/>
    <row r="40" spans="8:25" ht="15" customHeight="1" x14ac:dyDescent="0.15"/>
    <row r="41" spans="8:25" ht="15" customHeight="1" x14ac:dyDescent="0.15"/>
    <row r="42" spans="8:25" ht="15" customHeight="1" x14ac:dyDescent="0.15"/>
    <row r="43" spans="8:25" ht="15" customHeight="1" x14ac:dyDescent="0.15"/>
    <row r="44" spans="8:25" ht="15" customHeight="1" x14ac:dyDescent="0.15"/>
    <row r="45" spans="8:25" ht="15" customHeight="1" x14ac:dyDescent="0.15"/>
    <row r="46" spans="8:25" ht="15" customHeight="1" x14ac:dyDescent="0.15"/>
    <row r="47" spans="8:25" ht="15" customHeight="1" x14ac:dyDescent="0.15"/>
    <row r="48" spans="8:25" ht="15" customHeight="1" x14ac:dyDescent="0.15"/>
    <row r="49" ht="15" customHeight="1" x14ac:dyDescent="0.15"/>
    <row r="50" ht="15" customHeight="1" x14ac:dyDescent="0.15"/>
    <row r="51" ht="15" customHeight="1" x14ac:dyDescent="0.15"/>
    <row r="52" ht="15" customHeight="1" x14ac:dyDescent="0.15"/>
    <row r="53" ht="15" customHeight="1" x14ac:dyDescent="0.15"/>
    <row r="54" ht="15" customHeight="1" x14ac:dyDescent="0.15"/>
    <row r="55" ht="15" customHeight="1" x14ac:dyDescent="0.15"/>
    <row r="56" ht="15" customHeight="1" x14ac:dyDescent="0.15"/>
    <row r="57" ht="15" customHeight="1" x14ac:dyDescent="0.15"/>
    <row r="58" ht="15" customHeight="1" x14ac:dyDescent="0.15"/>
    <row r="59" ht="15" customHeight="1" x14ac:dyDescent="0.15"/>
    <row r="60" ht="15" customHeight="1" x14ac:dyDescent="0.15"/>
    <row r="61" ht="15" customHeight="1" x14ac:dyDescent="0.15"/>
    <row r="62" ht="15" customHeight="1" x14ac:dyDescent="0.15"/>
    <row r="63" ht="15" customHeight="1" x14ac:dyDescent="0.15"/>
    <row r="64" ht="15" customHeight="1" x14ac:dyDescent="0.15"/>
    <row r="65" ht="15" customHeight="1" x14ac:dyDescent="0.15"/>
    <row r="66" ht="15" customHeight="1" x14ac:dyDescent="0.15"/>
    <row r="67" ht="15" customHeight="1" x14ac:dyDescent="0.15"/>
    <row r="68" ht="15" customHeight="1" x14ac:dyDescent="0.15"/>
    <row r="69" ht="15" customHeight="1" x14ac:dyDescent="0.15"/>
    <row r="70" ht="15" customHeight="1" x14ac:dyDescent="0.15"/>
    <row r="71" ht="15" customHeight="1" x14ac:dyDescent="0.15"/>
    <row r="72" ht="15" customHeight="1" x14ac:dyDescent="0.15"/>
    <row r="73" ht="15" customHeight="1" x14ac:dyDescent="0.15"/>
    <row r="74" ht="15" customHeight="1" x14ac:dyDescent="0.15"/>
    <row r="75" ht="15" customHeight="1" x14ac:dyDescent="0.15"/>
    <row r="76" ht="15" customHeight="1" x14ac:dyDescent="0.15"/>
    <row r="77" ht="15" customHeight="1" x14ac:dyDescent="0.15"/>
    <row r="78" ht="15" customHeight="1" x14ac:dyDescent="0.15"/>
    <row r="79" ht="15" customHeight="1" x14ac:dyDescent="0.15"/>
    <row r="80" ht="15" customHeight="1" x14ac:dyDescent="0.15"/>
    <row r="81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1" ht="15" customHeight="1" x14ac:dyDescent="0.15"/>
    <row r="172" ht="15" customHeight="1" x14ac:dyDescent="0.15"/>
    <row r="173" ht="15" customHeight="1" x14ac:dyDescent="0.15"/>
    <row r="174" ht="15" customHeight="1" x14ac:dyDescent="0.15"/>
    <row r="175" ht="15" customHeight="1" x14ac:dyDescent="0.15"/>
    <row r="176" ht="15" customHeight="1" x14ac:dyDescent="0.15"/>
    <row r="177" ht="15" customHeight="1" x14ac:dyDescent="0.15"/>
    <row r="178" ht="15" customHeight="1" x14ac:dyDescent="0.15"/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mergeCells count="2">
    <mergeCell ref="H33:J33"/>
    <mergeCell ref="W33:Y3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Drop Down 1">
              <controlPr defaultSize="0" autoLine="0" autoPict="0">
                <anchor>
                  <from>
                    <xdr:col>3</xdr:col>
                    <xdr:colOff>0</xdr:colOff>
                    <xdr:row>0</xdr:row>
                    <xdr:rowOff>9525</xdr:rowOff>
                  </from>
                  <to>
                    <xdr:col>6</xdr:col>
                    <xdr:colOff>504825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Drop Down 2">
              <controlPr defaultSize="0" autoLine="0" autoPict="0">
                <anchor>
                  <from>
                    <xdr:col>7</xdr:col>
                    <xdr:colOff>514350</xdr:colOff>
                    <xdr:row>0</xdr:row>
                    <xdr:rowOff>9525</xdr:rowOff>
                  </from>
                  <to>
                    <xdr:col>8</xdr:col>
                    <xdr:colOff>504825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Forecast_Validation">
                <anchor moveWithCells="1" sizeWithCells="1">
                  <from>
                    <xdr:col>10</xdr:col>
                    <xdr:colOff>9525</xdr:colOff>
                    <xdr:row>0</xdr:row>
                    <xdr:rowOff>0</xdr:rowOff>
                  </from>
                  <to>
                    <xdr:col>13</xdr:col>
                    <xdr:colOff>523875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BX183"/>
  <sheetViews>
    <sheetView tabSelected="1" zoomScale="70" zoomScaleNormal="70" workbookViewId="0">
      <selection activeCell="R5" sqref="R5"/>
    </sheetView>
  </sheetViews>
  <sheetFormatPr defaultColWidth="7.125" defaultRowHeight="13.5" x14ac:dyDescent="0.15"/>
  <cols>
    <col min="1" max="1" width="15.875" style="7" customWidth="1"/>
    <col min="2" max="65" width="7.625" style="7" customWidth="1"/>
    <col min="66" max="16384" width="7.125" style="7"/>
  </cols>
  <sheetData>
    <row r="1" spans="1:76" customFormat="1" ht="20.100000000000001" customHeight="1" thickBot="1" x14ac:dyDescent="0.2">
      <c r="A1" s="31">
        <f>A_Glance!A1</f>
        <v>43024</v>
      </c>
      <c r="B1" s="7"/>
      <c r="C1" s="7"/>
      <c r="D1" s="7">
        <f>A_Glance!$D$1</f>
        <v>1</v>
      </c>
      <c r="E1" s="24" t="str">
        <f>VLOOKUP(D1,Config!$A$1:$B$65,2,FALSE)</f>
        <v>Wanda Reign Chengdu</v>
      </c>
      <c r="F1" s="7"/>
      <c r="G1" s="7"/>
      <c r="H1" s="22"/>
      <c r="I1" s="34" t="s">
        <v>172</v>
      </c>
      <c r="J1" s="24" t="s">
        <v>155</v>
      </c>
      <c r="K1" s="34" t="s">
        <v>173</v>
      </c>
      <c r="L1" s="33" t="s">
        <v>156</v>
      </c>
      <c r="M1" s="34" t="s">
        <v>174</v>
      </c>
      <c r="N1" s="24" t="s">
        <v>155</v>
      </c>
      <c r="O1" s="34" t="s">
        <v>175</v>
      </c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</row>
    <row r="2" spans="1:76" customFormat="1" ht="15" customHeight="1" thickBot="1" x14ac:dyDescent="0.2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</row>
    <row r="3" spans="1:76" ht="19.5" customHeight="1" x14ac:dyDescent="0.15">
      <c r="A3" s="26" t="s">
        <v>157</v>
      </c>
      <c r="B3" s="39" t="s">
        <v>167</v>
      </c>
      <c r="C3" s="40"/>
      <c r="D3" s="39" t="s">
        <v>150</v>
      </c>
      <c r="E3" s="40"/>
      <c r="F3" s="39" t="s">
        <v>151</v>
      </c>
      <c r="G3" s="40"/>
      <c r="H3" s="39" t="s">
        <v>152</v>
      </c>
      <c r="I3" s="40"/>
      <c r="J3" s="39" t="s">
        <v>153</v>
      </c>
      <c r="K3" s="40"/>
      <c r="L3" s="39" t="s">
        <v>154</v>
      </c>
      <c r="M3" s="40"/>
      <c r="N3" s="39" t="s">
        <v>168</v>
      </c>
      <c r="O3" s="40"/>
    </row>
    <row r="4" spans="1:76" ht="15" customHeight="1" x14ac:dyDescent="0.15">
      <c r="A4" s="35" t="s">
        <v>158</v>
      </c>
      <c r="B4" s="5">
        <v>0.15833333333333333</v>
      </c>
      <c r="C4" s="5">
        <v>0.17499999999999999</v>
      </c>
      <c r="D4" s="5">
        <v>0.19166666666666668</v>
      </c>
      <c r="E4" s="5">
        <v>0.28749999999999998</v>
      </c>
      <c r="F4" s="5">
        <v>0.36249999999999999</v>
      </c>
      <c r="G4" s="5">
        <v>0.34166666666666667</v>
      </c>
      <c r="H4" s="5">
        <v>0.42916666666666664</v>
      </c>
      <c r="I4" s="5">
        <v>0.26666666666666666</v>
      </c>
      <c r="J4" s="5">
        <v>0.42916666666666664</v>
      </c>
      <c r="K4" s="5">
        <v>0.125</v>
      </c>
      <c r="L4" s="5">
        <v>0.47083333333333333</v>
      </c>
      <c r="M4" s="5">
        <v>0.12083333333333333</v>
      </c>
      <c r="N4" s="5">
        <v>0.28749999999999998</v>
      </c>
      <c r="O4" s="5">
        <v>8.3333333333333329E-2</v>
      </c>
    </row>
    <row r="5" spans="1:76" ht="15" customHeight="1" x14ac:dyDescent="0.15">
      <c r="A5" s="36" t="s">
        <v>159</v>
      </c>
      <c r="B5" s="28">
        <v>1043.1015789473684</v>
      </c>
      <c r="C5" s="28">
        <v>850.48261904761898</v>
      </c>
      <c r="D5" s="28">
        <v>1149.1647826086958</v>
      </c>
      <c r="E5" s="28">
        <v>881.77811594202899</v>
      </c>
      <c r="F5" s="28">
        <v>861.63873563218397</v>
      </c>
      <c r="G5" s="28">
        <v>863.09134146341466</v>
      </c>
      <c r="H5" s="28">
        <v>925.17058252427194</v>
      </c>
      <c r="I5" s="28">
        <v>808.24796875000004</v>
      </c>
      <c r="J5" s="28">
        <v>1021.5754368932039</v>
      </c>
      <c r="K5" s="28">
        <v>708.37166666666667</v>
      </c>
      <c r="L5" s="28">
        <v>1048.1623008849558</v>
      </c>
      <c r="M5" s="28">
        <v>879.03655172413801</v>
      </c>
      <c r="N5" s="28">
        <v>932.1037681159421</v>
      </c>
      <c r="O5" s="28">
        <v>918.43500000000006</v>
      </c>
    </row>
    <row r="6" spans="1:76" ht="15" customHeight="1" x14ac:dyDescent="0.15">
      <c r="A6" s="36" t="s">
        <v>160</v>
      </c>
      <c r="B6" s="28">
        <v>165.15774999999999</v>
      </c>
      <c r="C6" s="28">
        <v>148.83445833333332</v>
      </c>
      <c r="D6" s="28">
        <v>220.25658333333334</v>
      </c>
      <c r="E6" s="28">
        <v>253.51120833333334</v>
      </c>
      <c r="F6" s="28">
        <v>312.34404166666667</v>
      </c>
      <c r="G6" s="28">
        <v>294.88954166666667</v>
      </c>
      <c r="H6" s="28">
        <v>397.05237500000004</v>
      </c>
      <c r="I6" s="28">
        <v>215.53279166666667</v>
      </c>
      <c r="J6" s="28">
        <v>438.42612500000001</v>
      </c>
      <c r="K6" s="28">
        <v>88.546458333333334</v>
      </c>
      <c r="L6" s="28">
        <v>493.50975</v>
      </c>
      <c r="M6" s="28">
        <v>106.21691666666668</v>
      </c>
      <c r="N6" s="28">
        <v>267.97983333333337</v>
      </c>
      <c r="O6" s="28">
        <v>76.53625000000001</v>
      </c>
    </row>
    <row r="7" spans="1:76" ht="15" customHeight="1" x14ac:dyDescent="0.15">
      <c r="A7" s="35" t="s">
        <v>161</v>
      </c>
      <c r="B7" s="5">
        <v>0.15833333333333333</v>
      </c>
      <c r="C7" s="5">
        <v>0.15833333333333333</v>
      </c>
      <c r="D7" s="5">
        <v>0.1875</v>
      </c>
      <c r="E7" s="5">
        <v>0.1875</v>
      </c>
      <c r="F7" s="5">
        <v>0.25</v>
      </c>
      <c r="G7" s="5">
        <v>0.16666666666666666</v>
      </c>
      <c r="H7" s="5">
        <v>0.31666666666666665</v>
      </c>
      <c r="I7" s="5">
        <v>0.125</v>
      </c>
      <c r="J7" s="5">
        <v>0.42916666666666664</v>
      </c>
      <c r="K7" s="5">
        <v>0.1125</v>
      </c>
      <c r="L7" s="5">
        <v>0.47083333333333333</v>
      </c>
      <c r="M7" s="5">
        <v>0.12083333333333333</v>
      </c>
      <c r="N7" s="5">
        <v>0.27916666666666667</v>
      </c>
      <c r="O7" s="5">
        <v>8.3333333333333329E-2</v>
      </c>
    </row>
    <row r="8" spans="1:76" ht="15" customHeight="1" x14ac:dyDescent="0.15">
      <c r="A8" s="36" t="s">
        <v>162</v>
      </c>
      <c r="B8" s="28">
        <v>1043.0999999999999</v>
      </c>
      <c r="C8" s="28">
        <v>870.03</v>
      </c>
      <c r="D8" s="28">
        <v>1160.72</v>
      </c>
      <c r="E8" s="28">
        <v>956.24</v>
      </c>
      <c r="F8" s="28">
        <v>933.94</v>
      </c>
      <c r="G8" s="28">
        <v>944.54</v>
      </c>
      <c r="H8" s="28">
        <v>1000.7599999999999</v>
      </c>
      <c r="I8" s="28">
        <v>826.58</v>
      </c>
      <c r="J8" s="28">
        <v>1018.49</v>
      </c>
      <c r="K8" s="28">
        <v>702.9</v>
      </c>
      <c r="L8" s="28">
        <v>1048.1600000000001</v>
      </c>
      <c r="M8" s="28">
        <v>879.04</v>
      </c>
      <c r="N8" s="28">
        <v>940.72</v>
      </c>
      <c r="O8" s="28">
        <v>918.44000000000017</v>
      </c>
    </row>
    <row r="9" spans="1:76" ht="15" customHeight="1" x14ac:dyDescent="0.15">
      <c r="A9" s="36" t="s">
        <v>163</v>
      </c>
      <c r="B9" s="28">
        <v>165.15749999999997</v>
      </c>
      <c r="C9" s="28">
        <v>137.75475</v>
      </c>
      <c r="D9" s="28">
        <v>217.63500000000002</v>
      </c>
      <c r="E9" s="28">
        <v>179.29500000000002</v>
      </c>
      <c r="F9" s="28">
        <v>233.48500000000001</v>
      </c>
      <c r="G9" s="28">
        <v>157.42333333333332</v>
      </c>
      <c r="H9" s="28">
        <v>316.90733333333333</v>
      </c>
      <c r="I9" s="28">
        <v>103.32250000000001</v>
      </c>
      <c r="J9" s="28">
        <v>437.10195833333336</v>
      </c>
      <c r="K9" s="28">
        <v>79.076250000000002</v>
      </c>
      <c r="L9" s="28">
        <v>493.50866666666673</v>
      </c>
      <c r="M9" s="28">
        <v>106.21733333333333</v>
      </c>
      <c r="N9" s="28">
        <v>262.61766666666671</v>
      </c>
      <c r="O9" s="28">
        <v>76.536666666666676</v>
      </c>
    </row>
    <row r="10" spans="1:76" ht="15" customHeight="1" x14ac:dyDescent="0.15">
      <c r="A10" s="35" t="s">
        <v>164</v>
      </c>
      <c r="B10" s="5">
        <v>0</v>
      </c>
      <c r="C10" s="5">
        <v>1.6666666666666666E-2</v>
      </c>
      <c r="D10" s="5">
        <v>4.1666666666666666E-3</v>
      </c>
      <c r="E10" s="5">
        <v>0.1</v>
      </c>
      <c r="F10" s="5">
        <v>0.1125</v>
      </c>
      <c r="G10" s="5">
        <v>0.17499999999999999</v>
      </c>
      <c r="H10" s="5">
        <v>0.1125</v>
      </c>
      <c r="I10" s="5">
        <v>0.14166666666666666</v>
      </c>
      <c r="J10" s="5">
        <v>0</v>
      </c>
      <c r="K10" s="5">
        <v>1.2500000000000001E-2</v>
      </c>
      <c r="L10" s="5">
        <v>0</v>
      </c>
      <c r="M10" s="5">
        <v>0</v>
      </c>
      <c r="N10" s="5">
        <v>8.3333333333333332E-3</v>
      </c>
      <c r="O10" s="5">
        <v>0</v>
      </c>
    </row>
    <row r="11" spans="1:76" ht="15" customHeight="1" x14ac:dyDescent="0.15">
      <c r="A11" s="36" t="s">
        <v>165</v>
      </c>
      <c r="B11" s="28"/>
      <c r="C11" s="28">
        <v>664.75</v>
      </c>
      <c r="D11" s="28">
        <v>628.99</v>
      </c>
      <c r="E11" s="28">
        <v>742.16</v>
      </c>
      <c r="F11" s="28">
        <v>700.96</v>
      </c>
      <c r="G11" s="28">
        <v>785.51999999999987</v>
      </c>
      <c r="H11" s="28">
        <v>712.41</v>
      </c>
      <c r="I11" s="28">
        <v>792.08</v>
      </c>
      <c r="J11" s="28"/>
      <c r="K11" s="28">
        <v>757.64</v>
      </c>
      <c r="L11" s="28"/>
      <c r="M11" s="28"/>
      <c r="N11" s="28">
        <v>643.30999999999995</v>
      </c>
      <c r="O11" s="28"/>
    </row>
    <row r="12" spans="1:76" ht="15" customHeight="1" x14ac:dyDescent="0.15">
      <c r="A12" s="36" t="s">
        <v>166</v>
      </c>
      <c r="B12" s="28">
        <v>0</v>
      </c>
      <c r="C12" s="28">
        <v>11.079166666666667</v>
      </c>
      <c r="D12" s="28">
        <v>2.6207916666666669</v>
      </c>
      <c r="E12" s="28">
        <v>74.215999999999994</v>
      </c>
      <c r="F12" s="28">
        <v>78.858000000000004</v>
      </c>
      <c r="G12" s="28">
        <v>137.46599999999998</v>
      </c>
      <c r="H12" s="28">
        <v>80.146124999999998</v>
      </c>
      <c r="I12" s="28">
        <v>112.21133333333334</v>
      </c>
      <c r="J12" s="28">
        <v>0</v>
      </c>
      <c r="K12" s="28">
        <v>9.4704999999999995</v>
      </c>
      <c r="L12" s="28">
        <v>0</v>
      </c>
      <c r="M12" s="28">
        <v>0</v>
      </c>
      <c r="N12" s="28">
        <v>5.3609166666666663</v>
      </c>
      <c r="O12" s="28">
        <v>0</v>
      </c>
    </row>
    <row r="13" spans="1:76" ht="15" customHeight="1" x14ac:dyDescent="0.15"/>
    <row r="14" spans="1:76" ht="15" customHeight="1" x14ac:dyDescent="0.15"/>
    <row r="15" spans="1:76" ht="15" customHeight="1" x14ac:dyDescent="0.15"/>
    <row r="16" spans="1:76" ht="15" customHeight="1" x14ac:dyDescent="0.15"/>
    <row r="17" spans="7:25" ht="15" customHeight="1" x14ac:dyDescent="0.15"/>
    <row r="18" spans="7:25" ht="15" customHeight="1" x14ac:dyDescent="0.15"/>
    <row r="19" spans="7:25" ht="15" customHeight="1" x14ac:dyDescent="0.15"/>
    <row r="20" spans="7:25" ht="15" customHeight="1" x14ac:dyDescent="0.15"/>
    <row r="21" spans="7:25" ht="15" customHeight="1" x14ac:dyDescent="0.15"/>
    <row r="22" spans="7:25" ht="15" customHeight="1" x14ac:dyDescent="0.15"/>
    <row r="23" spans="7:25" ht="15" customHeight="1" x14ac:dyDescent="0.15"/>
    <row r="24" spans="7:25" ht="15" customHeight="1" x14ac:dyDescent="0.15"/>
    <row r="25" spans="7:25" ht="15" customHeight="1" x14ac:dyDescent="0.15"/>
    <row r="26" spans="7:25" ht="15" customHeight="1" x14ac:dyDescent="0.15"/>
    <row r="27" spans="7:25" ht="15" customHeight="1" x14ac:dyDescent="0.15"/>
    <row r="28" spans="7:25" ht="15" customHeight="1" x14ac:dyDescent="0.15"/>
    <row r="29" spans="7:25" ht="15" customHeight="1" x14ac:dyDescent="0.15"/>
    <row r="30" spans="7:25" ht="15" customHeight="1" x14ac:dyDescent="0.15"/>
    <row r="31" spans="7:25" ht="15" customHeight="1" x14ac:dyDescent="0.15">
      <c r="G31" s="38" t="s">
        <v>169</v>
      </c>
      <c r="H31" s="38"/>
      <c r="I31" s="38"/>
      <c r="J31" s="37"/>
      <c r="T31" s="38" t="s">
        <v>170</v>
      </c>
      <c r="U31" s="38"/>
      <c r="V31" s="38"/>
      <c r="W31" s="38"/>
      <c r="X31" s="37"/>
      <c r="Y31" s="37"/>
    </row>
    <row r="32" spans="7:25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spans="7:9" ht="15" customHeight="1" x14ac:dyDescent="0.15"/>
    <row r="50" spans="7:9" ht="15" customHeight="1" x14ac:dyDescent="0.15">
      <c r="G50" s="38" t="s">
        <v>171</v>
      </c>
      <c r="H50" s="38"/>
      <c r="I50" s="38"/>
    </row>
    <row r="51" spans="7:9" ht="15" customHeight="1" x14ac:dyDescent="0.15"/>
    <row r="52" spans="7:9" ht="15" customHeight="1" x14ac:dyDescent="0.15"/>
    <row r="53" spans="7:9" ht="15" customHeight="1" x14ac:dyDescent="0.15"/>
    <row r="54" spans="7:9" ht="15" customHeight="1" x14ac:dyDescent="0.15"/>
    <row r="55" spans="7:9" ht="15" customHeight="1" x14ac:dyDescent="0.15"/>
    <row r="56" spans="7:9" ht="15" customHeight="1" x14ac:dyDescent="0.15"/>
    <row r="57" spans="7:9" ht="15" customHeight="1" x14ac:dyDescent="0.15"/>
    <row r="58" spans="7:9" ht="15" customHeight="1" x14ac:dyDescent="0.15"/>
    <row r="59" spans="7:9" ht="15" customHeight="1" x14ac:dyDescent="0.15"/>
    <row r="60" spans="7:9" ht="15" customHeight="1" x14ac:dyDescent="0.15"/>
    <row r="61" spans="7:9" ht="15" customHeight="1" x14ac:dyDescent="0.15"/>
    <row r="62" spans="7:9" ht="15" customHeight="1" x14ac:dyDescent="0.15"/>
    <row r="63" spans="7:9" ht="15" customHeight="1" x14ac:dyDescent="0.15"/>
    <row r="64" spans="7:9" ht="15" customHeight="1" x14ac:dyDescent="0.15"/>
    <row r="65" ht="15" customHeight="1" x14ac:dyDescent="0.15"/>
    <row r="66" ht="15" customHeight="1" x14ac:dyDescent="0.15"/>
    <row r="67" ht="15" customHeight="1" x14ac:dyDescent="0.15"/>
    <row r="68" ht="15" customHeight="1" x14ac:dyDescent="0.15"/>
    <row r="69" ht="15" customHeight="1" x14ac:dyDescent="0.15"/>
    <row r="70" ht="15" customHeight="1" x14ac:dyDescent="0.15"/>
    <row r="71" ht="15" customHeight="1" x14ac:dyDescent="0.15"/>
    <row r="72" ht="15" customHeight="1" x14ac:dyDescent="0.15"/>
    <row r="73" ht="15" customHeight="1" x14ac:dyDescent="0.15"/>
    <row r="74" ht="15" customHeight="1" x14ac:dyDescent="0.15"/>
    <row r="75" ht="15" customHeight="1" x14ac:dyDescent="0.15"/>
    <row r="76" ht="15" customHeight="1" x14ac:dyDescent="0.15"/>
    <row r="77" ht="15" customHeight="1" x14ac:dyDescent="0.15"/>
    <row r="78" ht="15" customHeight="1" x14ac:dyDescent="0.15"/>
    <row r="79" ht="15" customHeight="1" x14ac:dyDescent="0.15"/>
    <row r="80" ht="15" customHeight="1" x14ac:dyDescent="0.15"/>
    <row r="81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1" ht="15" customHeight="1" x14ac:dyDescent="0.15"/>
    <row r="172" ht="15" customHeight="1" x14ac:dyDescent="0.15"/>
    <row r="173" ht="15" customHeight="1" x14ac:dyDescent="0.15"/>
    <row r="174" ht="15" customHeight="1" x14ac:dyDescent="0.15"/>
    <row r="175" ht="15" customHeight="1" x14ac:dyDescent="0.15"/>
    <row r="176" ht="15" customHeight="1" x14ac:dyDescent="0.15"/>
    <row r="177" ht="15" customHeight="1" x14ac:dyDescent="0.15"/>
    <row r="178" ht="15" customHeight="1" x14ac:dyDescent="0.15"/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</sheetData>
  <mergeCells count="10">
    <mergeCell ref="J3:K3"/>
    <mergeCell ref="L3:M3"/>
    <mergeCell ref="N3:O3"/>
    <mergeCell ref="G31:I31"/>
    <mergeCell ref="T31:W31"/>
    <mergeCell ref="G50:I50"/>
    <mergeCell ref="B3:C3"/>
    <mergeCell ref="D3:E3"/>
    <mergeCell ref="F3:G3"/>
    <mergeCell ref="H3:I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Drop Down 1">
              <controlPr defaultSize="0" autoLine="0" autoPict="0">
                <anchor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409575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DOW_Distribution">
                <anchor moveWithCells="1" sizeWithCells="1">
                  <from>
                    <xdr:col>15</xdr:col>
                    <xdr:colOff>523875</xdr:colOff>
                    <xdr:row>0</xdr:row>
                    <xdr:rowOff>0</xdr:rowOff>
                  </from>
                  <to>
                    <xdr:col>19</xdr:col>
                    <xdr:colOff>495300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66"/>
  <sheetViews>
    <sheetView topLeftCell="A43" workbookViewId="0">
      <selection activeCell="B1" sqref="B1"/>
    </sheetView>
  </sheetViews>
  <sheetFormatPr defaultRowHeight="13.5" x14ac:dyDescent="0.15"/>
  <cols>
    <col min="1" max="1" width="9" style="20"/>
    <col min="2" max="2" width="31.25" style="20" customWidth="1"/>
    <col min="3" max="3" width="8.75" style="20" customWidth="1"/>
    <col min="4" max="16384" width="9" style="20"/>
  </cols>
  <sheetData>
    <row r="1" spans="1:3" x14ac:dyDescent="0.15">
      <c r="A1" s="32">
        <v>1</v>
      </c>
      <c r="B1" s="20" t="s">
        <v>16</v>
      </c>
      <c r="C1" s="21">
        <v>1</v>
      </c>
    </row>
    <row r="2" spans="1:3" x14ac:dyDescent="0.15">
      <c r="A2" s="32">
        <v>2</v>
      </c>
      <c r="B2" s="20" t="s">
        <v>15</v>
      </c>
      <c r="C2" s="21">
        <v>2</v>
      </c>
    </row>
    <row r="3" spans="1:3" x14ac:dyDescent="0.15">
      <c r="A3" s="32">
        <v>3</v>
      </c>
      <c r="B3" s="20" t="s">
        <v>14</v>
      </c>
      <c r="C3" s="21">
        <v>3</v>
      </c>
    </row>
    <row r="4" spans="1:3" x14ac:dyDescent="0.15">
      <c r="A4" s="32">
        <v>4</v>
      </c>
      <c r="B4" s="20" t="s">
        <v>13</v>
      </c>
      <c r="C4" s="21">
        <v>4</v>
      </c>
    </row>
    <row r="5" spans="1:3" x14ac:dyDescent="0.15">
      <c r="A5" s="32">
        <v>5</v>
      </c>
      <c r="B5" s="20" t="s">
        <v>12</v>
      </c>
      <c r="C5" s="21">
        <v>5</v>
      </c>
    </row>
    <row r="6" spans="1:3" x14ac:dyDescent="0.15">
      <c r="A6" s="32">
        <v>6</v>
      </c>
      <c r="B6" s="20" t="s">
        <v>60</v>
      </c>
      <c r="C6" s="21">
        <v>6</v>
      </c>
    </row>
    <row r="7" spans="1:3" x14ac:dyDescent="0.15">
      <c r="A7" s="32">
        <v>7</v>
      </c>
      <c r="B7" s="20" t="s">
        <v>51</v>
      </c>
      <c r="C7" s="21">
        <v>7</v>
      </c>
    </row>
    <row r="8" spans="1:3" x14ac:dyDescent="0.15">
      <c r="A8" s="32">
        <v>8</v>
      </c>
      <c r="B8" s="20" t="s">
        <v>11</v>
      </c>
      <c r="C8" s="21">
        <v>8</v>
      </c>
    </row>
    <row r="9" spans="1:3" x14ac:dyDescent="0.15">
      <c r="A9" s="32">
        <v>9</v>
      </c>
      <c r="B9" s="20" t="s">
        <v>10</v>
      </c>
      <c r="C9" s="21">
        <v>9</v>
      </c>
    </row>
    <row r="10" spans="1:3" x14ac:dyDescent="0.15">
      <c r="A10" s="32">
        <v>10</v>
      </c>
      <c r="B10" s="20" t="s">
        <v>9</v>
      </c>
      <c r="C10" s="21">
        <v>10</v>
      </c>
    </row>
    <row r="11" spans="1:3" x14ac:dyDescent="0.15">
      <c r="A11" s="32">
        <v>11</v>
      </c>
      <c r="B11" s="20" t="s">
        <v>8</v>
      </c>
      <c r="C11" s="21">
        <v>11</v>
      </c>
    </row>
    <row r="12" spans="1:3" x14ac:dyDescent="0.15">
      <c r="A12" s="32">
        <v>12</v>
      </c>
      <c r="B12" s="20" t="s">
        <v>62</v>
      </c>
      <c r="C12" s="21">
        <v>12</v>
      </c>
    </row>
    <row r="13" spans="1:3" x14ac:dyDescent="0.15">
      <c r="A13" s="32">
        <v>13</v>
      </c>
      <c r="B13" s="20" t="s">
        <v>7</v>
      </c>
    </row>
    <row r="14" spans="1:3" x14ac:dyDescent="0.15">
      <c r="A14" s="32">
        <v>14</v>
      </c>
      <c r="B14" s="20" t="s">
        <v>5</v>
      </c>
    </row>
    <row r="15" spans="1:3" x14ac:dyDescent="0.15">
      <c r="A15" s="32">
        <v>15</v>
      </c>
      <c r="B15" s="20" t="s">
        <v>4</v>
      </c>
    </row>
    <row r="16" spans="1:3" x14ac:dyDescent="0.15">
      <c r="A16" s="32">
        <v>16</v>
      </c>
      <c r="B16" s="20" t="s">
        <v>3</v>
      </c>
    </row>
    <row r="17" spans="1:2" x14ac:dyDescent="0.15">
      <c r="A17" s="32">
        <v>17</v>
      </c>
      <c r="B17" s="20" t="s">
        <v>2</v>
      </c>
    </row>
    <row r="18" spans="1:2" x14ac:dyDescent="0.15">
      <c r="A18" s="32">
        <v>18</v>
      </c>
      <c r="B18" s="20" t="s">
        <v>6</v>
      </c>
    </row>
    <row r="19" spans="1:2" x14ac:dyDescent="0.15">
      <c r="A19" s="32">
        <v>19</v>
      </c>
      <c r="B19" s="20" t="s">
        <v>1</v>
      </c>
    </row>
    <row r="20" spans="1:2" x14ac:dyDescent="0.15">
      <c r="A20" s="32">
        <v>20</v>
      </c>
      <c r="B20" s="20" t="s">
        <v>0</v>
      </c>
    </row>
    <row r="21" spans="1:2" x14ac:dyDescent="0.15">
      <c r="A21" s="32">
        <v>21</v>
      </c>
      <c r="B21" s="20" t="s">
        <v>65</v>
      </c>
    </row>
    <row r="22" spans="1:2" x14ac:dyDescent="0.15">
      <c r="A22" s="32">
        <v>22</v>
      </c>
      <c r="B22" s="20" t="s">
        <v>50</v>
      </c>
    </row>
    <row r="23" spans="1:2" x14ac:dyDescent="0.15">
      <c r="A23" s="32">
        <v>23</v>
      </c>
      <c r="B23" s="20" t="s">
        <v>49</v>
      </c>
    </row>
    <row r="24" spans="1:2" x14ac:dyDescent="0.15">
      <c r="A24" s="32">
        <v>24</v>
      </c>
      <c r="B24" s="20" t="s">
        <v>48</v>
      </c>
    </row>
    <row r="25" spans="1:2" x14ac:dyDescent="0.15">
      <c r="A25" s="32">
        <v>25</v>
      </c>
      <c r="B25" s="20" t="s">
        <v>47</v>
      </c>
    </row>
    <row r="26" spans="1:2" x14ac:dyDescent="0.15">
      <c r="A26" s="32">
        <v>26</v>
      </c>
      <c r="B26" s="20" t="s">
        <v>46</v>
      </c>
    </row>
    <row r="27" spans="1:2" x14ac:dyDescent="0.15">
      <c r="A27" s="32">
        <v>27</v>
      </c>
      <c r="B27" s="20" t="s">
        <v>45</v>
      </c>
    </row>
    <row r="28" spans="1:2" x14ac:dyDescent="0.15">
      <c r="A28" s="32">
        <v>28</v>
      </c>
      <c r="B28" s="20" t="s">
        <v>44</v>
      </c>
    </row>
    <row r="29" spans="1:2" x14ac:dyDescent="0.15">
      <c r="A29" s="32">
        <v>29</v>
      </c>
      <c r="B29" s="20" t="s">
        <v>43</v>
      </c>
    </row>
    <row r="30" spans="1:2" x14ac:dyDescent="0.15">
      <c r="A30" s="32">
        <v>30</v>
      </c>
      <c r="B30" s="20" t="s">
        <v>42</v>
      </c>
    </row>
    <row r="31" spans="1:2" x14ac:dyDescent="0.15">
      <c r="A31" s="32">
        <v>31</v>
      </c>
      <c r="B31" s="20" t="s">
        <v>41</v>
      </c>
    </row>
    <row r="32" spans="1:2" x14ac:dyDescent="0.15">
      <c r="A32" s="32">
        <v>32</v>
      </c>
      <c r="B32" s="20" t="s">
        <v>40</v>
      </c>
    </row>
    <row r="33" spans="1:2" x14ac:dyDescent="0.15">
      <c r="A33" s="32">
        <v>33</v>
      </c>
      <c r="B33" s="20" t="s">
        <v>39</v>
      </c>
    </row>
    <row r="34" spans="1:2" x14ac:dyDescent="0.15">
      <c r="A34" s="32">
        <v>34</v>
      </c>
      <c r="B34" s="20" t="s">
        <v>38</v>
      </c>
    </row>
    <row r="35" spans="1:2" x14ac:dyDescent="0.15">
      <c r="A35" s="32">
        <v>35</v>
      </c>
      <c r="B35" s="20" t="s">
        <v>61</v>
      </c>
    </row>
    <row r="36" spans="1:2" x14ac:dyDescent="0.15">
      <c r="A36" s="32">
        <v>36</v>
      </c>
      <c r="B36" s="20" t="s">
        <v>54</v>
      </c>
    </row>
    <row r="37" spans="1:2" x14ac:dyDescent="0.15">
      <c r="A37" s="32">
        <v>37</v>
      </c>
      <c r="B37" s="20" t="s">
        <v>37</v>
      </c>
    </row>
    <row r="38" spans="1:2" x14ac:dyDescent="0.15">
      <c r="A38" s="32">
        <v>38</v>
      </c>
      <c r="B38" s="20" t="s">
        <v>36</v>
      </c>
    </row>
    <row r="39" spans="1:2" x14ac:dyDescent="0.15">
      <c r="A39" s="32">
        <v>39</v>
      </c>
      <c r="B39" s="20" t="s">
        <v>35</v>
      </c>
    </row>
    <row r="40" spans="1:2" x14ac:dyDescent="0.15">
      <c r="A40" s="32">
        <v>40</v>
      </c>
      <c r="B40" s="20" t="s">
        <v>34</v>
      </c>
    </row>
    <row r="41" spans="1:2" x14ac:dyDescent="0.15">
      <c r="A41" s="32">
        <v>41</v>
      </c>
      <c r="B41" s="20" t="s">
        <v>33</v>
      </c>
    </row>
    <row r="42" spans="1:2" x14ac:dyDescent="0.15">
      <c r="A42" s="32">
        <v>42</v>
      </c>
      <c r="B42" s="20" t="s">
        <v>32</v>
      </c>
    </row>
    <row r="43" spans="1:2" x14ac:dyDescent="0.15">
      <c r="A43" s="32">
        <v>43</v>
      </c>
      <c r="B43" s="20" t="s">
        <v>31</v>
      </c>
    </row>
    <row r="44" spans="1:2" x14ac:dyDescent="0.15">
      <c r="A44" s="32">
        <v>44</v>
      </c>
      <c r="B44" s="20" t="s">
        <v>30</v>
      </c>
    </row>
    <row r="45" spans="1:2" x14ac:dyDescent="0.15">
      <c r="A45" s="32">
        <v>45</v>
      </c>
      <c r="B45" s="20" t="s">
        <v>29</v>
      </c>
    </row>
    <row r="46" spans="1:2" x14ac:dyDescent="0.15">
      <c r="A46" s="32">
        <v>46</v>
      </c>
      <c r="B46" s="20" t="s">
        <v>28</v>
      </c>
    </row>
    <row r="47" spans="1:2" x14ac:dyDescent="0.15">
      <c r="A47" s="32">
        <v>47</v>
      </c>
      <c r="B47" s="20" t="s">
        <v>23</v>
      </c>
    </row>
    <row r="48" spans="1:2" x14ac:dyDescent="0.15">
      <c r="A48" s="32">
        <v>48</v>
      </c>
      <c r="B48" s="20" t="s">
        <v>27</v>
      </c>
    </row>
    <row r="49" spans="1:2" x14ac:dyDescent="0.15">
      <c r="A49" s="32">
        <v>49</v>
      </c>
      <c r="B49" s="20" t="s">
        <v>26</v>
      </c>
    </row>
    <row r="50" spans="1:2" x14ac:dyDescent="0.15">
      <c r="A50" s="32">
        <v>50</v>
      </c>
      <c r="B50" s="20" t="s">
        <v>58</v>
      </c>
    </row>
    <row r="51" spans="1:2" x14ac:dyDescent="0.15">
      <c r="A51" s="32">
        <v>51</v>
      </c>
      <c r="B51" s="20" t="s">
        <v>25</v>
      </c>
    </row>
    <row r="52" spans="1:2" x14ac:dyDescent="0.15">
      <c r="A52" s="32">
        <v>52</v>
      </c>
      <c r="B52" s="20" t="s">
        <v>24</v>
      </c>
    </row>
    <row r="53" spans="1:2" x14ac:dyDescent="0.15">
      <c r="A53" s="32">
        <v>53</v>
      </c>
      <c r="B53" s="20" t="s">
        <v>63</v>
      </c>
    </row>
    <row r="54" spans="1:2" x14ac:dyDescent="0.15">
      <c r="A54" s="32">
        <v>54</v>
      </c>
      <c r="B54" s="20" t="s">
        <v>64</v>
      </c>
    </row>
    <row r="55" spans="1:2" x14ac:dyDescent="0.15">
      <c r="A55" s="32">
        <v>55</v>
      </c>
      <c r="B55" s="20" t="s">
        <v>55</v>
      </c>
    </row>
    <row r="56" spans="1:2" x14ac:dyDescent="0.15">
      <c r="A56" s="32">
        <v>56</v>
      </c>
      <c r="B56" s="20" t="s">
        <v>22</v>
      </c>
    </row>
    <row r="57" spans="1:2" x14ac:dyDescent="0.15">
      <c r="A57" s="32">
        <v>57</v>
      </c>
      <c r="B57" s="20" t="s">
        <v>21</v>
      </c>
    </row>
    <row r="58" spans="1:2" x14ac:dyDescent="0.15">
      <c r="A58" s="32">
        <v>58</v>
      </c>
      <c r="B58" s="20" t="s">
        <v>57</v>
      </c>
    </row>
    <row r="59" spans="1:2" x14ac:dyDescent="0.15">
      <c r="A59" s="32">
        <v>59</v>
      </c>
      <c r="B59" s="20" t="s">
        <v>56</v>
      </c>
    </row>
    <row r="60" spans="1:2" x14ac:dyDescent="0.15">
      <c r="A60" s="32">
        <v>60</v>
      </c>
      <c r="B60" s="20" t="s">
        <v>20</v>
      </c>
    </row>
    <row r="61" spans="1:2" x14ac:dyDescent="0.15">
      <c r="A61" s="32">
        <v>61</v>
      </c>
      <c r="B61" s="20" t="s">
        <v>19</v>
      </c>
    </row>
    <row r="62" spans="1:2" x14ac:dyDescent="0.15">
      <c r="A62" s="32">
        <v>62</v>
      </c>
      <c r="B62" s="20" t="s">
        <v>52</v>
      </c>
    </row>
    <row r="63" spans="1:2" x14ac:dyDescent="0.15">
      <c r="A63" s="32">
        <v>63</v>
      </c>
      <c r="B63" s="20" t="s">
        <v>18</v>
      </c>
    </row>
    <row r="64" spans="1:2" x14ac:dyDescent="0.15">
      <c r="A64" s="32">
        <v>64</v>
      </c>
      <c r="B64" s="20" t="s">
        <v>53</v>
      </c>
    </row>
    <row r="65" spans="1:2" x14ac:dyDescent="0.15">
      <c r="A65" s="32">
        <v>65</v>
      </c>
      <c r="B65" s="20" t="s">
        <v>17</v>
      </c>
    </row>
    <row r="66" spans="1:2" x14ac:dyDescent="0.15">
      <c r="A66" s="32">
        <v>66</v>
      </c>
      <c r="B66" s="20" t="s">
        <v>59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A_Glance</vt:lpstr>
      <vt:lpstr>Date_Report</vt:lpstr>
      <vt:lpstr>Business_Type_Report</vt:lpstr>
      <vt:lpstr>Forecast_Validation</vt:lpstr>
      <vt:lpstr>DOW_Distribution</vt:lpstr>
      <vt:lpstr>Config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2017-07-20T13:34:04Z</dcterms:created>
  <dcterms:modified xsi:type="dcterms:W3CDTF">2017-10-16T02:45:41Z</dcterms:modified>
</cp:coreProperties>
</file>